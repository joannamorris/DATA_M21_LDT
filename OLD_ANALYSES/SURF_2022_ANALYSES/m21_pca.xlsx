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Volumes/GoogleDrive/My Drive/PROVIDENCE COLLEGE/GRANTS/RI INBRE 2021/Data/"/>
    </mc:Choice>
  </mc:AlternateContent>
  <xr:revisionPtr revIDLastSave="0" documentId="13_ncr:1_{00893D73-3C0A-704A-92A8-C56FF80C3C7E}" xr6:coauthVersionLast="47" xr6:coauthVersionMax="47" xr10:uidLastSave="{00000000-0000-0000-0000-000000000000}"/>
  <bookViews>
    <workbookView xWindow="0" yWindow="500" windowWidth="23260" windowHeight="12580" activeTab="1" xr2:uid="{00000000-000D-0000-FFFF-FFFF00000000}"/>
  </bookViews>
  <sheets>
    <sheet name="art_spell_vocab" sheetId="1" r:id="rId1"/>
    <sheet name="m21_pc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2" l="1"/>
  <c r="G71" i="2"/>
  <c r="E71" i="2"/>
  <c r="G70" i="2"/>
  <c r="E70" i="2"/>
  <c r="G69" i="2"/>
  <c r="E69" i="2"/>
  <c r="G68" i="2"/>
  <c r="E68" i="2"/>
  <c r="G67" i="2"/>
  <c r="E67" i="2"/>
  <c r="G66" i="2"/>
  <c r="E66" i="2"/>
  <c r="G65" i="2"/>
  <c r="E65" i="2"/>
  <c r="G64" i="2"/>
  <c r="E64" i="2"/>
  <c r="G63" i="2"/>
  <c r="E63" i="2"/>
  <c r="G62" i="2"/>
  <c r="E62" i="2"/>
  <c r="G61" i="2"/>
  <c r="E61" i="2"/>
  <c r="G60" i="2"/>
  <c r="E60" i="2"/>
  <c r="G59" i="2"/>
  <c r="E59" i="2"/>
  <c r="G58" i="2"/>
  <c r="E58" i="2"/>
  <c r="G57" i="2"/>
  <c r="E57" i="2"/>
  <c r="G56" i="2"/>
  <c r="E56" i="2"/>
  <c r="G55" i="2"/>
  <c r="E55" i="2"/>
  <c r="G54" i="2"/>
  <c r="E54" i="2"/>
  <c r="G53" i="2"/>
  <c r="E53" i="2"/>
  <c r="G52" i="2"/>
  <c r="E52" i="2"/>
  <c r="G51" i="2"/>
  <c r="E51" i="2"/>
  <c r="G50" i="2"/>
  <c r="E50" i="2"/>
  <c r="G49" i="2"/>
  <c r="E49" i="2"/>
  <c r="G48" i="2"/>
  <c r="E48" i="2"/>
  <c r="G47" i="2"/>
  <c r="E47" i="2"/>
  <c r="G46" i="2"/>
  <c r="E46" i="2"/>
  <c r="G45" i="2"/>
  <c r="E45" i="2"/>
  <c r="G44" i="2"/>
  <c r="E44" i="2"/>
  <c r="G43" i="2"/>
  <c r="E43" i="2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J48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6" i="1"/>
  <c r="C5" i="1"/>
  <c r="C4" i="1"/>
  <c r="C3" i="1"/>
  <c r="C2" i="1"/>
  <c r="H77" i="1"/>
  <c r="E77" i="1"/>
  <c r="B77" i="1"/>
  <c r="H76" i="1"/>
  <c r="E76" i="1"/>
  <c r="B76" i="1"/>
  <c r="G3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F13" i="1" l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9" i="1"/>
  <c r="F10" i="1"/>
  <c r="F11" i="1"/>
  <c r="F12" i="1"/>
  <c r="F8" i="1"/>
  <c r="F7" i="1"/>
  <c r="F6" i="1"/>
  <c r="F5" i="1"/>
  <c r="F4" i="1"/>
  <c r="F3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</calcChain>
</file>

<file path=xl/sharedStrings.xml><?xml version="1.0" encoding="utf-8"?>
<sst xmlns="http://schemas.openxmlformats.org/spreadsheetml/2006/main" count="162" uniqueCount="86">
  <si>
    <t>ART_correct</t>
  </si>
  <si>
    <t>Art_zscore</t>
  </si>
  <si>
    <t>Art_Score</t>
  </si>
  <si>
    <t>spell_correct</t>
  </si>
  <si>
    <t xml:space="preserve">spell_zscore </t>
  </si>
  <si>
    <t>spell_Percent</t>
  </si>
  <si>
    <t>vocab_correct</t>
  </si>
  <si>
    <t>vocab_zscore</t>
  </si>
  <si>
    <t>vocab_percent</t>
  </si>
  <si>
    <t>S12</t>
  </si>
  <si>
    <t>S13</t>
  </si>
  <si>
    <t>S101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</si>
  <si>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</si>
  <si>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</si>
  <si>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</si>
  <si>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</si>
  <si>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</si>
  <si>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</si>
  <si>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</si>
  <si>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</si>
  <si>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</si>
  <si>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</si>
  <si>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</si>
  <si>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</si>
  <si>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</si>
  <si>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</si>
  <si>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</si>
  <si>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</si>
  <si>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</si>
  <si>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</si>
  <si>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S122</t>
  </si>
  <si>
    <t>S123</t>
  </si>
  <si>
    <t>S124</t>
  </si>
  <si>
    <t>S125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</si>
  <si>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</si>
  <si>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</si>
  <si>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</si>
  <si>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</si>
  <si>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</si>
  <si>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</si>
  <si>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</si>
  <si>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</si>
  <si>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</si>
  <si>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</si>
  <si>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</si>
  <si>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</si>
  <si>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</si>
  <si>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</si>
  <si>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</si>
  <si>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</si>
  <si>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</si>
  <si>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</si>
  <si>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</si>
  <si>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</si>
  <si>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</si>
  <si>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</si>
  <si>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</si>
  <si>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</si>
  <si>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</si>
  <si>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</si>
  <si>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</si>
  <si>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</si>
  <si>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</si>
  <si>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</si>
  <si>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</si>
  <si>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</si>
  <si>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</si>
  <si>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</si>
  <si>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</si>
  <si>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</si>
  <si>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</si>
  <si>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</si>
  <si>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</si>
  <si>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</si>
  <si>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</si>
  <si>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</si>
  <si>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</si>
  <si>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</si>
  <si>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</si>
  <si>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</si>
  <si>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</si>
  <si>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</si>
  <si>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</si>
  <si>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 xml:space="preserve">Mean Score </t>
  </si>
  <si>
    <t xml:space="preserve">Standard deviation </t>
  </si>
  <si>
    <t>SubjID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</si>
</sst>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3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workbookViewId="0">
      <selection activeCell="K1" sqref="A1:XFD1048576"/>
    </sheetView>
  </sheetViews>
  <sheetFormatPr baseColWidth="10" defaultColWidth="8.83203125" defaultRowHeight="15" x14ac:dyDescent="0.2"/>
  <cols>
    <col min="1" max="1" width="12.1640625" customWidth="1"/>
    <col min="2" max="4" width="18.5" customWidth="1"/>
    <col min="5" max="7" width="18.6640625" customWidth="1"/>
    <col min="8" max="9" width="17.6640625" customWidth="1"/>
    <col min="10" max="10" width="18.5" customWidth="1"/>
    <col min="11" max="11" width="14.33203125" customWidth="1"/>
    <col min="12" max="12" width="10.6640625" customWidth="1"/>
    <col min="13" max="13" width="14.33203125" customWidth="1"/>
    <col min="14" max="14" width="12.83203125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>
        <v>39</v>
      </c>
      <c r="C2">
        <f>STANDARDIZE(B2,B76,B77)</f>
        <v>-0.22739976898946329</v>
      </c>
      <c r="D2">
        <v>0.60606099999999996</v>
      </c>
      <c r="E2">
        <v>71</v>
      </c>
      <c r="F2">
        <f>STANDARDIZE(E2,E76,E77)</f>
        <v>0.66329802734469279</v>
      </c>
      <c r="G2">
        <f t="shared" ref="G2:G33" si="0">E2/88</f>
        <v>0.80681818181818177</v>
      </c>
      <c r="H2">
        <v>34</v>
      </c>
      <c r="I2">
        <f>STANDARDIZE(H2,$H$76, $H$77)</f>
        <v>-0.37789617496592465</v>
      </c>
      <c r="J2">
        <f t="shared" ref="J2:J33" si="1">H2/50</f>
        <v>0.68</v>
      </c>
    </row>
    <row r="3" spans="1:10" x14ac:dyDescent="0.2">
      <c r="A3" t="s">
        <v>10</v>
      </c>
      <c r="B3">
        <v>42</v>
      </c>
      <c r="C3" s="1">
        <f>STANDARDIZE(B3,B76,B77)</f>
        <v>6.9208625344619634E-2</v>
      </c>
      <c r="D3">
        <v>0.59090900000000002</v>
      </c>
      <c r="E3">
        <v>62</v>
      </c>
      <c r="F3">
        <f>STANDARDIZE(E3,E76,E77)</f>
        <v>4.2380111702558357E-2</v>
      </c>
      <c r="G3">
        <f t="shared" si="0"/>
        <v>0.70454545454545459</v>
      </c>
      <c r="H3">
        <v>43</v>
      </c>
      <c r="I3">
        <f t="shared" ref="I3:I66" si="2">STANDARDIZE(H3,$H$76, $H$77)</f>
        <v>0.43188134281819907</v>
      </c>
      <c r="J3">
        <f t="shared" si="1"/>
        <v>0.86</v>
      </c>
    </row>
    <row r="4" spans="1:10" x14ac:dyDescent="0.2">
      <c r="A4" t="s">
        <v>11</v>
      </c>
      <c r="B4">
        <v>40</v>
      </c>
      <c r="C4" s="1">
        <f>STANDARDIZE(B4,B76,B77)</f>
        <v>-0.12853030421143566</v>
      </c>
      <c r="D4">
        <v>0.63636400000000004</v>
      </c>
      <c r="E4">
        <v>55</v>
      </c>
      <c r="F4">
        <f>STANDARDIZE(E4,E76,E77)</f>
        <v>-0.44055604490799066</v>
      </c>
      <c r="G4">
        <f t="shared" si="0"/>
        <v>0.625</v>
      </c>
      <c r="H4">
        <v>33</v>
      </c>
      <c r="I4">
        <f t="shared" si="2"/>
        <v>-0.4678714547197162</v>
      </c>
      <c r="J4">
        <f t="shared" si="1"/>
        <v>0.66</v>
      </c>
    </row>
    <row r="5" spans="1:10" x14ac:dyDescent="0.2">
      <c r="A5" t="s">
        <v>12</v>
      </c>
      <c r="B5">
        <v>48</v>
      </c>
      <c r="C5" s="1">
        <f>STANDARDIZE(B5,B76,B77)</f>
        <v>0.66242541401278554</v>
      </c>
      <c r="D5">
        <v>0.60606099999999996</v>
      </c>
      <c r="E5">
        <v>69</v>
      </c>
      <c r="F5">
        <f>STANDARDIZE(E5,E76,E77)</f>
        <v>0.5253162683131074</v>
      </c>
      <c r="G5">
        <f t="shared" si="0"/>
        <v>0.78409090909090906</v>
      </c>
      <c r="H5">
        <v>41</v>
      </c>
      <c r="I5">
        <f t="shared" si="2"/>
        <v>0.25193078331061602</v>
      </c>
      <c r="J5">
        <f t="shared" si="1"/>
        <v>0.82</v>
      </c>
    </row>
    <row r="6" spans="1:10" x14ac:dyDescent="0.2">
      <c r="A6" t="s">
        <v>13</v>
      </c>
      <c r="B6">
        <v>41</v>
      </c>
      <c r="C6" s="1">
        <f t="shared" ref="C6:C37" si="3">STANDARDIZE(B6,$B$76,$B$77)</f>
        <v>-2.9660839433408012E-2</v>
      </c>
      <c r="D6">
        <v>0.72727299999999995</v>
      </c>
      <c r="E6">
        <v>62</v>
      </c>
      <c r="F6">
        <f>STANDARDIZE(E6,E76,E77)</f>
        <v>4.2380111702558357E-2</v>
      </c>
      <c r="G6">
        <f t="shared" si="0"/>
        <v>0.70454545454545459</v>
      </c>
      <c r="H6">
        <v>42</v>
      </c>
      <c r="I6">
        <f t="shared" si="2"/>
        <v>0.34190606306440752</v>
      </c>
      <c r="J6">
        <f t="shared" si="1"/>
        <v>0.84</v>
      </c>
    </row>
    <row r="7" spans="1:10" x14ac:dyDescent="0.2">
      <c r="A7" t="s">
        <v>14</v>
      </c>
      <c r="B7">
        <v>45</v>
      </c>
      <c r="C7" s="1">
        <f t="shared" si="3"/>
        <v>0.36581701967870256</v>
      </c>
      <c r="D7">
        <v>0.62121199999999999</v>
      </c>
      <c r="E7">
        <v>64</v>
      </c>
      <c r="F7">
        <f>STANDARDIZE(E7,E76,E77)</f>
        <v>0.18036187073414378</v>
      </c>
      <c r="G7">
        <f t="shared" si="0"/>
        <v>0.72727272727272729</v>
      </c>
      <c r="H7">
        <v>32</v>
      </c>
      <c r="I7">
        <f t="shared" si="2"/>
        <v>-0.55784673447350774</v>
      </c>
      <c r="J7">
        <f t="shared" si="1"/>
        <v>0.64</v>
      </c>
    </row>
    <row r="8" spans="1:10" x14ac:dyDescent="0.2">
      <c r="A8" t="s">
        <v>15</v>
      </c>
      <c r="B8">
        <v>42</v>
      </c>
      <c r="C8" s="1">
        <f t="shared" si="3"/>
        <v>6.9208625344619634E-2</v>
      </c>
      <c r="D8">
        <v>0.68181800000000004</v>
      </c>
      <c r="E8">
        <v>77</v>
      </c>
      <c r="F8">
        <f>STANDARDIZE(E8,$E$76, $E$77)</f>
        <v>1.0772433044394492</v>
      </c>
      <c r="G8">
        <f t="shared" si="0"/>
        <v>0.875</v>
      </c>
      <c r="H8">
        <v>44</v>
      </c>
      <c r="I8">
        <f t="shared" si="2"/>
        <v>0.52185662257199061</v>
      </c>
      <c r="J8">
        <f t="shared" si="1"/>
        <v>0.88</v>
      </c>
    </row>
    <row r="9" spans="1:10" x14ac:dyDescent="0.2">
      <c r="A9" t="s">
        <v>16</v>
      </c>
      <c r="B9">
        <v>39</v>
      </c>
      <c r="C9" s="1">
        <f t="shared" si="3"/>
        <v>-0.22739976898946329</v>
      </c>
      <c r="D9">
        <v>0.63636400000000004</v>
      </c>
      <c r="E9">
        <v>68</v>
      </c>
      <c r="F9">
        <f t="shared" ref="F9:F71" si="4">STANDARDIZE(E9,$E$76, $E$77)</f>
        <v>0.45632538879731466</v>
      </c>
      <c r="G9">
        <f t="shared" si="0"/>
        <v>0.77272727272727271</v>
      </c>
      <c r="H9">
        <v>38</v>
      </c>
      <c r="I9">
        <f t="shared" si="2"/>
        <v>-1.7995055950758562E-2</v>
      </c>
      <c r="J9">
        <f t="shared" si="1"/>
        <v>0.76</v>
      </c>
    </row>
    <row r="10" spans="1:10" x14ac:dyDescent="0.2">
      <c r="A10" t="s">
        <v>17</v>
      </c>
      <c r="B10">
        <v>44</v>
      </c>
      <c r="C10" s="1">
        <f t="shared" si="3"/>
        <v>0.2669475549006749</v>
      </c>
      <c r="D10">
        <v>0.59090900000000002</v>
      </c>
      <c r="E10">
        <v>69</v>
      </c>
      <c r="F10">
        <f t="shared" si="4"/>
        <v>0.5253162683131074</v>
      </c>
      <c r="G10">
        <f t="shared" si="0"/>
        <v>0.78409090909090906</v>
      </c>
      <c r="H10">
        <v>42</v>
      </c>
      <c r="I10">
        <f t="shared" si="2"/>
        <v>0.34190606306440752</v>
      </c>
      <c r="J10">
        <f t="shared" si="1"/>
        <v>0.84</v>
      </c>
    </row>
    <row r="11" spans="1:10" x14ac:dyDescent="0.2">
      <c r="A11" t="s">
        <v>18</v>
      </c>
      <c r="B11">
        <v>44</v>
      </c>
      <c r="C11" s="1">
        <f t="shared" si="3"/>
        <v>0.2669475549006749</v>
      </c>
      <c r="D11">
        <v>0.66666700000000001</v>
      </c>
      <c r="E11">
        <v>70</v>
      </c>
      <c r="F11">
        <f t="shared" si="4"/>
        <v>0.59430714782890004</v>
      </c>
      <c r="G11">
        <f t="shared" si="0"/>
        <v>0.79545454545454541</v>
      </c>
      <c r="H11">
        <v>44</v>
      </c>
      <c r="I11">
        <f t="shared" si="2"/>
        <v>0.52185662257199061</v>
      </c>
      <c r="J11">
        <f t="shared" si="1"/>
        <v>0.88</v>
      </c>
    </row>
    <row r="12" spans="1:10" x14ac:dyDescent="0.2">
      <c r="A12" t="s">
        <v>19</v>
      </c>
      <c r="B12">
        <v>42</v>
      </c>
      <c r="C12" s="1">
        <f t="shared" si="3"/>
        <v>6.9208625344619634E-2</v>
      </c>
      <c r="D12">
        <v>0.66666700000000001</v>
      </c>
      <c r="E12">
        <v>68</v>
      </c>
      <c r="F12">
        <f t="shared" si="4"/>
        <v>0.45632538879731466</v>
      </c>
      <c r="G12">
        <f t="shared" si="0"/>
        <v>0.77272727272727271</v>
      </c>
      <c r="H12">
        <v>29</v>
      </c>
      <c r="I12">
        <f t="shared" si="2"/>
        <v>-0.82777257373488233</v>
      </c>
      <c r="J12">
        <f t="shared" si="1"/>
        <v>0.57999999999999996</v>
      </c>
    </row>
    <row r="13" spans="1:10" x14ac:dyDescent="0.2">
      <c r="A13" t="s">
        <v>20</v>
      </c>
      <c r="B13">
        <v>41</v>
      </c>
      <c r="C13" s="1">
        <f t="shared" si="3"/>
        <v>-2.9660839433408012E-2</v>
      </c>
      <c r="D13">
        <v>0.63636400000000004</v>
      </c>
      <c r="E13">
        <v>66</v>
      </c>
      <c r="F13">
        <f t="shared" si="4"/>
        <v>0.31834362976572922</v>
      </c>
      <c r="G13">
        <f t="shared" si="0"/>
        <v>0.75</v>
      </c>
      <c r="H13">
        <v>37</v>
      </c>
      <c r="I13">
        <f t="shared" si="2"/>
        <v>-0.10797033570455009</v>
      </c>
      <c r="J13">
        <f t="shared" si="1"/>
        <v>0.74</v>
      </c>
    </row>
    <row r="14" spans="1:10" x14ac:dyDescent="0.2">
      <c r="A14" t="s">
        <v>21</v>
      </c>
      <c r="B14">
        <v>38</v>
      </c>
      <c r="C14" s="1">
        <f t="shared" si="3"/>
        <v>-0.32626923376749095</v>
      </c>
      <c r="D14">
        <v>0.62121199999999999</v>
      </c>
      <c r="E14">
        <v>69</v>
      </c>
      <c r="F14">
        <f t="shared" si="4"/>
        <v>0.5253162683131074</v>
      </c>
      <c r="G14">
        <f t="shared" si="0"/>
        <v>0.78409090909090906</v>
      </c>
      <c r="H14">
        <v>37</v>
      </c>
      <c r="I14">
        <f t="shared" si="2"/>
        <v>-0.10797033570455009</v>
      </c>
      <c r="J14">
        <f t="shared" si="1"/>
        <v>0.74</v>
      </c>
    </row>
    <row r="15" spans="1:10" x14ac:dyDescent="0.2">
      <c r="A15" t="s">
        <v>22</v>
      </c>
      <c r="B15">
        <v>53</v>
      </c>
      <c r="C15" s="1">
        <f t="shared" si="3"/>
        <v>1.1567727379029238</v>
      </c>
      <c r="D15">
        <v>0.57575799999999999</v>
      </c>
      <c r="E15">
        <v>63</v>
      </c>
      <c r="F15">
        <f t="shared" si="4"/>
        <v>0.11137099121835106</v>
      </c>
      <c r="G15">
        <f t="shared" si="0"/>
        <v>0.71590909090909094</v>
      </c>
      <c r="H15">
        <v>48</v>
      </c>
      <c r="I15">
        <f t="shared" si="2"/>
        <v>0.8817577415871567</v>
      </c>
      <c r="J15">
        <f t="shared" si="1"/>
        <v>0.96</v>
      </c>
    </row>
    <row r="16" spans="1:10" x14ac:dyDescent="0.2">
      <c r="A16" t="s">
        <v>23</v>
      </c>
      <c r="B16">
        <v>38</v>
      </c>
      <c r="C16" s="1">
        <f t="shared" si="3"/>
        <v>-0.32626923376749095</v>
      </c>
      <c r="D16">
        <v>0.80303000000000002</v>
      </c>
      <c r="E16">
        <v>51</v>
      </c>
      <c r="F16">
        <f t="shared" si="4"/>
        <v>-0.71651956297116148</v>
      </c>
      <c r="G16">
        <f t="shared" si="0"/>
        <v>0.57954545454545459</v>
      </c>
      <c r="H16">
        <v>32</v>
      </c>
      <c r="I16">
        <f t="shared" si="2"/>
        <v>-0.55784673447350774</v>
      </c>
      <c r="J16">
        <f t="shared" si="1"/>
        <v>0.64</v>
      </c>
    </row>
    <row r="17" spans="1:10" x14ac:dyDescent="0.2">
      <c r="A17" t="s">
        <v>24</v>
      </c>
      <c r="B17">
        <v>39</v>
      </c>
      <c r="C17" s="1">
        <f t="shared" si="3"/>
        <v>-0.22739976898946329</v>
      </c>
      <c r="D17">
        <v>0.57575799999999999</v>
      </c>
      <c r="E17">
        <v>64</v>
      </c>
      <c r="F17">
        <f t="shared" si="4"/>
        <v>0.18036187073414378</v>
      </c>
      <c r="G17">
        <f t="shared" si="0"/>
        <v>0.72727272727272729</v>
      </c>
      <c r="H17">
        <v>45</v>
      </c>
      <c r="I17">
        <f t="shared" si="2"/>
        <v>0.61183190232578211</v>
      </c>
      <c r="J17">
        <f t="shared" si="1"/>
        <v>0.9</v>
      </c>
    </row>
    <row r="18" spans="1:10" x14ac:dyDescent="0.2">
      <c r="A18" t="s">
        <v>25</v>
      </c>
      <c r="B18">
        <v>43</v>
      </c>
      <c r="C18" s="1">
        <f t="shared" si="3"/>
        <v>0.16807809012264727</v>
      </c>
      <c r="D18">
        <v>0.59090900000000002</v>
      </c>
      <c r="E18">
        <v>64</v>
      </c>
      <c r="F18">
        <f t="shared" si="4"/>
        <v>0.18036187073414378</v>
      </c>
      <c r="G18">
        <f t="shared" si="0"/>
        <v>0.72727272727272729</v>
      </c>
      <c r="H18">
        <v>46</v>
      </c>
      <c r="I18">
        <f t="shared" si="2"/>
        <v>0.7018071820795736</v>
      </c>
      <c r="J18">
        <f t="shared" si="1"/>
        <v>0.92</v>
      </c>
    </row>
    <row r="19" spans="1:10" x14ac:dyDescent="0.2">
      <c r="A19" t="s">
        <v>26</v>
      </c>
      <c r="B19">
        <v>30</v>
      </c>
      <c r="C19" s="1">
        <f t="shared" si="3"/>
        <v>-1.1172249519917121</v>
      </c>
      <c r="D19">
        <v>0.65151499999999996</v>
      </c>
      <c r="E19">
        <v>63</v>
      </c>
      <c r="F19">
        <f t="shared" si="4"/>
        <v>0.11137099121835106</v>
      </c>
      <c r="G19">
        <f t="shared" si="0"/>
        <v>0.71590909090909094</v>
      </c>
      <c r="H19">
        <v>35</v>
      </c>
      <c r="I19">
        <f t="shared" si="2"/>
        <v>-0.28792089521213315</v>
      </c>
      <c r="J19">
        <f t="shared" si="1"/>
        <v>0.7</v>
      </c>
    </row>
    <row r="20" spans="1:10" x14ac:dyDescent="0.2">
      <c r="A20" t="s">
        <v>27</v>
      </c>
      <c r="B20">
        <v>44</v>
      </c>
      <c r="C20" s="1">
        <f t="shared" si="3"/>
        <v>0.2669475549006749</v>
      </c>
      <c r="D20">
        <v>0.45454499999999998</v>
      </c>
      <c r="E20">
        <v>67</v>
      </c>
      <c r="F20">
        <f t="shared" si="4"/>
        <v>0.38733450928152191</v>
      </c>
      <c r="G20">
        <f t="shared" si="0"/>
        <v>0.76136363636363635</v>
      </c>
      <c r="H20">
        <v>46</v>
      </c>
      <c r="I20">
        <f t="shared" si="2"/>
        <v>0.7018071820795736</v>
      </c>
      <c r="J20">
        <f t="shared" si="1"/>
        <v>0.92</v>
      </c>
    </row>
    <row r="21" spans="1:10" x14ac:dyDescent="0.2">
      <c r="A21" t="s">
        <v>28</v>
      </c>
      <c r="B21">
        <v>49</v>
      </c>
      <c r="C21" s="1">
        <f t="shared" si="3"/>
        <v>0.76129487879081315</v>
      </c>
      <c r="D21">
        <v>0.66666700000000001</v>
      </c>
      <c r="E21">
        <v>61</v>
      </c>
      <c r="F21">
        <f t="shared" si="4"/>
        <v>-2.6610767813234359E-2</v>
      </c>
      <c r="G21">
        <f t="shared" si="0"/>
        <v>0.69318181818181823</v>
      </c>
      <c r="H21">
        <v>43</v>
      </c>
      <c r="I21">
        <f t="shared" si="2"/>
        <v>0.43188134281819907</v>
      </c>
      <c r="J21">
        <f t="shared" si="1"/>
        <v>0.86</v>
      </c>
    </row>
    <row r="22" spans="1:10" x14ac:dyDescent="0.2">
      <c r="A22" t="s">
        <v>29</v>
      </c>
      <c r="B22">
        <v>42</v>
      </c>
      <c r="C22" s="1">
        <f t="shared" si="3"/>
        <v>6.9208625344619634E-2</v>
      </c>
      <c r="D22">
        <v>0.74242399999999997</v>
      </c>
      <c r="E22">
        <v>55</v>
      </c>
      <c r="F22">
        <f t="shared" si="4"/>
        <v>-0.44055604490799066</v>
      </c>
      <c r="G22">
        <f t="shared" si="0"/>
        <v>0.625</v>
      </c>
      <c r="H22">
        <v>42</v>
      </c>
      <c r="I22">
        <f t="shared" si="2"/>
        <v>0.34190606306440752</v>
      </c>
      <c r="J22">
        <f t="shared" si="1"/>
        <v>0.84</v>
      </c>
    </row>
    <row r="23" spans="1:10" x14ac:dyDescent="0.2">
      <c r="A23" t="s">
        <v>30</v>
      </c>
      <c r="B23">
        <v>40</v>
      </c>
      <c r="C23" s="1">
        <f t="shared" si="3"/>
        <v>-0.12853030421143566</v>
      </c>
      <c r="D23">
        <v>0.63636400000000004</v>
      </c>
      <c r="E23">
        <v>61</v>
      </c>
      <c r="F23">
        <f t="shared" si="4"/>
        <v>-2.6610767813234359E-2</v>
      </c>
      <c r="G23">
        <f t="shared" si="0"/>
        <v>0.69318181818181823</v>
      </c>
      <c r="H23">
        <v>31</v>
      </c>
      <c r="I23">
        <f t="shared" si="2"/>
        <v>-0.64782201422729924</v>
      </c>
      <c r="J23">
        <f t="shared" si="1"/>
        <v>0.62</v>
      </c>
    </row>
    <row r="24" spans="1:10" x14ac:dyDescent="0.2">
      <c r="A24" t="s">
        <v>31</v>
      </c>
      <c r="B24">
        <v>36</v>
      </c>
      <c r="C24" s="1">
        <f t="shared" si="3"/>
        <v>-0.52400816332354627</v>
      </c>
      <c r="D24">
        <v>0.60606099999999996</v>
      </c>
      <c r="E24">
        <v>68</v>
      </c>
      <c r="F24">
        <f t="shared" si="4"/>
        <v>0.45632538879731466</v>
      </c>
      <c r="G24">
        <f t="shared" si="0"/>
        <v>0.77272727272727271</v>
      </c>
      <c r="H24">
        <v>48</v>
      </c>
      <c r="I24">
        <f t="shared" si="2"/>
        <v>0.8817577415871567</v>
      </c>
      <c r="J24">
        <f t="shared" si="1"/>
        <v>0.96</v>
      </c>
    </row>
    <row r="25" spans="1:10" x14ac:dyDescent="0.2">
      <c r="A25" t="s">
        <v>32</v>
      </c>
      <c r="B25">
        <v>44</v>
      </c>
      <c r="C25" s="1">
        <f t="shared" si="3"/>
        <v>0.2669475549006749</v>
      </c>
      <c r="D25">
        <v>0.54545500000000002</v>
      </c>
      <c r="E25">
        <v>64</v>
      </c>
      <c r="F25">
        <f t="shared" si="4"/>
        <v>0.18036187073414378</v>
      </c>
      <c r="G25">
        <f t="shared" si="0"/>
        <v>0.72727272727272729</v>
      </c>
      <c r="H25">
        <v>48</v>
      </c>
      <c r="I25">
        <f t="shared" si="2"/>
        <v>0.8817577415871567</v>
      </c>
      <c r="J25">
        <f t="shared" si="1"/>
        <v>0.96</v>
      </c>
    </row>
    <row r="26" spans="1:10" x14ac:dyDescent="0.2">
      <c r="A26" t="s">
        <v>33</v>
      </c>
      <c r="B26">
        <v>50</v>
      </c>
      <c r="C26" s="1">
        <f t="shared" si="3"/>
        <v>0.86016434356884075</v>
      </c>
      <c r="D26">
        <v>0.66666700000000001</v>
      </c>
      <c r="E26">
        <v>71</v>
      </c>
      <c r="F26">
        <f t="shared" si="4"/>
        <v>0.66329802734469279</v>
      </c>
      <c r="G26">
        <f t="shared" si="0"/>
        <v>0.80681818181818177</v>
      </c>
      <c r="H26">
        <v>48</v>
      </c>
      <c r="I26">
        <f t="shared" si="2"/>
        <v>0.8817577415871567</v>
      </c>
      <c r="J26">
        <f t="shared" si="1"/>
        <v>0.96</v>
      </c>
    </row>
    <row r="27" spans="1:10" x14ac:dyDescent="0.2">
      <c r="A27" t="s">
        <v>34</v>
      </c>
      <c r="B27">
        <v>48</v>
      </c>
      <c r="C27" s="1">
        <f t="shared" si="3"/>
        <v>0.66242541401278554</v>
      </c>
      <c r="D27">
        <v>0.75757600000000003</v>
      </c>
      <c r="E27">
        <v>66</v>
      </c>
      <c r="F27">
        <f t="shared" si="4"/>
        <v>0.31834362976572922</v>
      </c>
      <c r="G27">
        <f t="shared" si="0"/>
        <v>0.75</v>
      </c>
      <c r="H27">
        <v>32</v>
      </c>
      <c r="I27">
        <f t="shared" si="2"/>
        <v>-0.55784673447350774</v>
      </c>
      <c r="J27">
        <f t="shared" si="1"/>
        <v>0.64</v>
      </c>
    </row>
    <row r="28" spans="1:10" x14ac:dyDescent="0.2">
      <c r="A28" t="s">
        <v>35</v>
      </c>
      <c r="B28">
        <v>39</v>
      </c>
      <c r="C28" s="1">
        <f t="shared" si="3"/>
        <v>-0.22739976898946329</v>
      </c>
      <c r="D28">
        <v>0.72727299999999995</v>
      </c>
      <c r="E28">
        <v>70</v>
      </c>
      <c r="F28">
        <f t="shared" si="4"/>
        <v>0.59430714782890004</v>
      </c>
      <c r="G28">
        <f t="shared" si="0"/>
        <v>0.79545454545454541</v>
      </c>
      <c r="H28">
        <v>43</v>
      </c>
      <c r="I28">
        <f t="shared" si="2"/>
        <v>0.43188134281819907</v>
      </c>
      <c r="J28">
        <f t="shared" si="1"/>
        <v>0.86</v>
      </c>
    </row>
    <row r="29" spans="1:10" x14ac:dyDescent="0.2">
      <c r="A29" t="s">
        <v>36</v>
      </c>
      <c r="B29">
        <v>50</v>
      </c>
      <c r="C29" s="1">
        <f t="shared" si="3"/>
        <v>0.86016434356884075</v>
      </c>
      <c r="D29">
        <v>0.59090900000000002</v>
      </c>
      <c r="E29">
        <v>52</v>
      </c>
      <c r="F29">
        <f t="shared" si="4"/>
        <v>-0.64752868345536874</v>
      </c>
      <c r="G29">
        <f t="shared" si="0"/>
        <v>0.59090909090909094</v>
      </c>
      <c r="H29">
        <v>48</v>
      </c>
      <c r="I29">
        <f t="shared" si="2"/>
        <v>0.8817577415871567</v>
      </c>
      <c r="J29">
        <f t="shared" si="1"/>
        <v>0.96</v>
      </c>
    </row>
    <row r="30" spans="1:10" x14ac:dyDescent="0.2">
      <c r="A30" t="s">
        <v>37</v>
      </c>
      <c r="B30">
        <v>49</v>
      </c>
      <c r="C30" s="1">
        <f t="shared" si="3"/>
        <v>0.76129487879081315</v>
      </c>
      <c r="D30">
        <v>0.75757600000000003</v>
      </c>
      <c r="E30">
        <v>69</v>
      </c>
      <c r="F30">
        <f t="shared" si="4"/>
        <v>0.5253162683131074</v>
      </c>
      <c r="G30">
        <f t="shared" si="0"/>
        <v>0.78409090909090906</v>
      </c>
      <c r="H30">
        <v>49</v>
      </c>
      <c r="I30">
        <f t="shared" si="2"/>
        <v>0.97173302134094819</v>
      </c>
      <c r="J30">
        <f t="shared" si="1"/>
        <v>0.98</v>
      </c>
    </row>
    <row r="31" spans="1:10" x14ac:dyDescent="0.2">
      <c r="A31" t="s">
        <v>38</v>
      </c>
      <c r="B31">
        <v>41</v>
      </c>
      <c r="C31" s="1">
        <f t="shared" si="3"/>
        <v>-2.9660839433408012E-2</v>
      </c>
      <c r="D31">
        <v>0.74242399999999997</v>
      </c>
      <c r="E31">
        <v>61</v>
      </c>
      <c r="F31">
        <f t="shared" si="4"/>
        <v>-2.6610767813234359E-2</v>
      </c>
      <c r="G31">
        <f t="shared" si="0"/>
        <v>0.69318181818181823</v>
      </c>
      <c r="H31">
        <v>31</v>
      </c>
      <c r="I31">
        <f t="shared" si="2"/>
        <v>-0.64782201422729924</v>
      </c>
      <c r="J31">
        <f t="shared" si="1"/>
        <v>0.62</v>
      </c>
    </row>
    <row r="32" spans="1:10" x14ac:dyDescent="0.2">
      <c r="A32" t="s">
        <v>39</v>
      </c>
      <c r="B32">
        <v>49</v>
      </c>
      <c r="C32" s="1">
        <f t="shared" si="3"/>
        <v>0.76129487879081315</v>
      </c>
      <c r="D32">
        <v>0.62121199999999999</v>
      </c>
      <c r="E32">
        <v>66</v>
      </c>
      <c r="F32">
        <f t="shared" si="4"/>
        <v>0.31834362976572922</v>
      </c>
      <c r="G32">
        <f t="shared" si="0"/>
        <v>0.75</v>
      </c>
      <c r="H32">
        <v>33</v>
      </c>
      <c r="I32">
        <f t="shared" si="2"/>
        <v>-0.4678714547197162</v>
      </c>
      <c r="J32">
        <f t="shared" si="1"/>
        <v>0.66</v>
      </c>
    </row>
    <row r="33" spans="1:10" x14ac:dyDescent="0.2">
      <c r="A33" t="s">
        <v>40</v>
      </c>
      <c r="B33">
        <v>36</v>
      </c>
      <c r="C33" s="1">
        <f t="shared" si="3"/>
        <v>-0.52400816332354627</v>
      </c>
      <c r="D33">
        <v>0.74242399999999997</v>
      </c>
      <c r="E33">
        <v>78</v>
      </c>
      <c r="F33">
        <f t="shared" si="4"/>
        <v>1.1462341839552417</v>
      </c>
      <c r="G33">
        <f t="shared" si="0"/>
        <v>0.88636363636363635</v>
      </c>
      <c r="H33">
        <v>49</v>
      </c>
      <c r="I33">
        <f t="shared" si="2"/>
        <v>0.97173302134094819</v>
      </c>
      <c r="J33">
        <f t="shared" si="1"/>
        <v>0.98</v>
      </c>
    </row>
    <row r="34" spans="1:10" x14ac:dyDescent="0.2">
      <c r="A34" t="s">
        <v>41</v>
      </c>
      <c r="B34">
        <v>43</v>
      </c>
      <c r="C34" s="1">
        <f t="shared" si="3"/>
        <v>0.16807809012264727</v>
      </c>
      <c r="D34">
        <v>0.54545500000000002</v>
      </c>
      <c r="E34">
        <v>71</v>
      </c>
      <c r="F34">
        <f t="shared" si="4"/>
        <v>0.66329802734469279</v>
      </c>
      <c r="G34">
        <f t="shared" ref="G34:G65" si="5">E34/88</f>
        <v>0.80681818181818177</v>
      </c>
      <c r="H34">
        <v>46</v>
      </c>
      <c r="I34">
        <f t="shared" si="2"/>
        <v>0.7018071820795736</v>
      </c>
      <c r="J34">
        <f t="shared" ref="J34:J65" si="6">H34/50</f>
        <v>0.92</v>
      </c>
    </row>
    <row r="35" spans="1:10" x14ac:dyDescent="0.2">
      <c r="A35" t="s">
        <v>42</v>
      </c>
      <c r="B35">
        <v>62</v>
      </c>
      <c r="C35" s="1">
        <f t="shared" si="3"/>
        <v>2.0465979209051723</v>
      </c>
      <c r="D35">
        <v>0.65151499999999996</v>
      </c>
      <c r="E35">
        <v>76</v>
      </c>
      <c r="F35">
        <f t="shared" si="4"/>
        <v>1.0082524249236564</v>
      </c>
      <c r="G35">
        <f t="shared" si="5"/>
        <v>0.86363636363636365</v>
      </c>
      <c r="H35">
        <v>41</v>
      </c>
      <c r="I35">
        <f t="shared" si="2"/>
        <v>0.25193078331061602</v>
      </c>
      <c r="J35">
        <f t="shared" si="6"/>
        <v>0.82</v>
      </c>
    </row>
    <row r="36" spans="1:10" x14ac:dyDescent="0.2">
      <c r="A36" t="s">
        <v>43</v>
      </c>
      <c r="B36">
        <v>49</v>
      </c>
      <c r="C36" s="1">
        <f t="shared" si="3"/>
        <v>0.76129487879081315</v>
      </c>
      <c r="D36">
        <v>0.93939399999999995</v>
      </c>
      <c r="E36">
        <v>67</v>
      </c>
      <c r="F36">
        <f t="shared" si="4"/>
        <v>0.38733450928152191</v>
      </c>
      <c r="G36">
        <f t="shared" si="5"/>
        <v>0.76136363636363635</v>
      </c>
      <c r="H36">
        <v>34</v>
      </c>
      <c r="I36">
        <f t="shared" si="2"/>
        <v>-0.37789617496592465</v>
      </c>
      <c r="J36">
        <f t="shared" si="6"/>
        <v>0.68</v>
      </c>
    </row>
    <row r="37" spans="1:10" x14ac:dyDescent="0.2">
      <c r="A37" t="s">
        <v>44</v>
      </c>
      <c r="B37">
        <v>41</v>
      </c>
      <c r="C37" s="1">
        <f t="shared" si="3"/>
        <v>-2.9660839433408012E-2</v>
      </c>
      <c r="D37">
        <v>0.74242399999999997</v>
      </c>
      <c r="E37">
        <v>58</v>
      </c>
      <c r="F37">
        <f t="shared" si="4"/>
        <v>-0.23358340636061251</v>
      </c>
      <c r="G37">
        <f t="shared" si="5"/>
        <v>0.65909090909090906</v>
      </c>
      <c r="H37">
        <v>44</v>
      </c>
      <c r="I37">
        <f t="shared" si="2"/>
        <v>0.52185662257199061</v>
      </c>
      <c r="J37">
        <f t="shared" si="6"/>
        <v>0.88</v>
      </c>
    </row>
    <row r="38" spans="1:10" x14ac:dyDescent="0.2">
      <c r="A38" t="s">
        <v>45</v>
      </c>
      <c r="B38">
        <v>43</v>
      </c>
      <c r="C38" s="1">
        <f t="shared" ref="C38:C69" si="7">STANDARDIZE(B38,$B$76,$B$77)</f>
        <v>0.16807809012264727</v>
      </c>
      <c r="D38">
        <v>0.62121199999999999</v>
      </c>
      <c r="E38">
        <v>61</v>
      </c>
      <c r="F38">
        <f t="shared" si="4"/>
        <v>-2.6610767813234359E-2</v>
      </c>
      <c r="G38">
        <f t="shared" si="5"/>
        <v>0.69318181818181823</v>
      </c>
      <c r="H38">
        <v>44</v>
      </c>
      <c r="I38">
        <f t="shared" si="2"/>
        <v>0.52185662257199061</v>
      </c>
      <c r="J38">
        <f t="shared" si="6"/>
        <v>0.88</v>
      </c>
    </row>
    <row r="39" spans="1:10" x14ac:dyDescent="0.2">
      <c r="A39" t="s">
        <v>46</v>
      </c>
      <c r="B39">
        <v>47</v>
      </c>
      <c r="C39" s="1">
        <f t="shared" si="7"/>
        <v>0.56355594923475782</v>
      </c>
      <c r="D39">
        <v>0.65151499999999996</v>
      </c>
      <c r="E39">
        <v>70</v>
      </c>
      <c r="F39">
        <f t="shared" si="4"/>
        <v>0.59430714782890004</v>
      </c>
      <c r="G39">
        <f t="shared" si="5"/>
        <v>0.79545454545454541</v>
      </c>
      <c r="H39">
        <v>40</v>
      </c>
      <c r="I39">
        <f t="shared" si="2"/>
        <v>0.16195550355682448</v>
      </c>
      <c r="J39">
        <f t="shared" si="6"/>
        <v>0.8</v>
      </c>
    </row>
    <row r="40" spans="1:10" x14ac:dyDescent="0.2">
      <c r="A40" t="s">
        <v>47</v>
      </c>
      <c r="B40">
        <v>45</v>
      </c>
      <c r="C40" s="1">
        <f t="shared" si="7"/>
        <v>0.36581701967870256</v>
      </c>
      <c r="D40">
        <v>0.712121</v>
      </c>
      <c r="E40">
        <v>71</v>
      </c>
      <c r="F40">
        <f t="shared" si="4"/>
        <v>0.66329802734469279</v>
      </c>
      <c r="G40">
        <f t="shared" si="5"/>
        <v>0.80681818181818177</v>
      </c>
      <c r="H40">
        <v>44</v>
      </c>
      <c r="I40">
        <f t="shared" si="2"/>
        <v>0.52185662257199061</v>
      </c>
      <c r="J40">
        <f t="shared" si="6"/>
        <v>0.88</v>
      </c>
    </row>
    <row r="41" spans="1:10" x14ac:dyDescent="0.2">
      <c r="A41" t="s">
        <v>48</v>
      </c>
      <c r="B41">
        <v>47</v>
      </c>
      <c r="C41" s="1">
        <f t="shared" si="7"/>
        <v>0.56355594923475782</v>
      </c>
      <c r="D41">
        <v>0.68181800000000004</v>
      </c>
      <c r="E41">
        <v>59</v>
      </c>
      <c r="F41">
        <f t="shared" si="4"/>
        <v>-0.16459252684481979</v>
      </c>
      <c r="G41">
        <f t="shared" si="5"/>
        <v>0.67045454545454541</v>
      </c>
      <c r="H41">
        <v>40</v>
      </c>
      <c r="I41">
        <f t="shared" si="2"/>
        <v>0.16195550355682448</v>
      </c>
      <c r="J41">
        <f t="shared" si="6"/>
        <v>0.8</v>
      </c>
    </row>
    <row r="42" spans="1:10" x14ac:dyDescent="0.2">
      <c r="A42" t="s">
        <v>49</v>
      </c>
      <c r="B42">
        <v>43</v>
      </c>
      <c r="C42" s="1">
        <f t="shared" si="7"/>
        <v>0.16807809012264727</v>
      </c>
      <c r="D42">
        <v>0.712121</v>
      </c>
      <c r="E42">
        <v>60</v>
      </c>
      <c r="F42">
        <f t="shared" si="4"/>
        <v>-9.5601647329027067E-2</v>
      </c>
      <c r="G42">
        <f t="shared" si="5"/>
        <v>0.68181818181818177</v>
      </c>
      <c r="H42">
        <v>49</v>
      </c>
      <c r="I42">
        <f t="shared" si="2"/>
        <v>0.97173302134094819</v>
      </c>
      <c r="J42">
        <f t="shared" si="6"/>
        <v>0.98</v>
      </c>
    </row>
    <row r="43" spans="1:10" x14ac:dyDescent="0.2">
      <c r="A43" t="s">
        <v>50</v>
      </c>
      <c r="B43">
        <v>41</v>
      </c>
      <c r="C43" s="1">
        <f t="shared" si="7"/>
        <v>-2.9660839433408012E-2</v>
      </c>
      <c r="D43">
        <v>0.65151499999999996</v>
      </c>
      <c r="E43">
        <v>55</v>
      </c>
      <c r="F43">
        <f t="shared" si="4"/>
        <v>-0.44055604490799066</v>
      </c>
      <c r="G43">
        <f t="shared" si="5"/>
        <v>0.625</v>
      </c>
      <c r="H43">
        <v>30</v>
      </c>
      <c r="I43">
        <f t="shared" si="2"/>
        <v>-0.73779729398109073</v>
      </c>
      <c r="J43">
        <f t="shared" si="6"/>
        <v>0.6</v>
      </c>
    </row>
    <row r="44" spans="1:10" x14ac:dyDescent="0.2">
      <c r="A44" t="s">
        <v>51</v>
      </c>
      <c r="B44">
        <v>44</v>
      </c>
      <c r="C44" s="1">
        <f t="shared" si="7"/>
        <v>0.2669475549006749</v>
      </c>
      <c r="D44">
        <v>0.62121199999999999</v>
      </c>
      <c r="E44">
        <v>62</v>
      </c>
      <c r="F44">
        <f t="shared" si="4"/>
        <v>4.2380111702558357E-2</v>
      </c>
      <c r="G44">
        <f t="shared" si="5"/>
        <v>0.70454545454545459</v>
      </c>
      <c r="H44">
        <v>45</v>
      </c>
      <c r="I44">
        <f t="shared" si="2"/>
        <v>0.61183190232578211</v>
      </c>
      <c r="J44">
        <f t="shared" si="6"/>
        <v>0.9</v>
      </c>
    </row>
    <row r="45" spans="1:10" x14ac:dyDescent="0.2">
      <c r="A45" t="s">
        <v>52</v>
      </c>
      <c r="B45">
        <v>39</v>
      </c>
      <c r="C45" s="1">
        <f t="shared" si="7"/>
        <v>-0.22739976898946329</v>
      </c>
      <c r="D45">
        <v>0.66666700000000001</v>
      </c>
      <c r="E45">
        <v>61</v>
      </c>
      <c r="F45">
        <f t="shared" si="4"/>
        <v>-2.6610767813234359E-2</v>
      </c>
      <c r="G45">
        <f t="shared" si="5"/>
        <v>0.69318181818181823</v>
      </c>
      <c r="H45">
        <v>36</v>
      </c>
      <c r="I45">
        <f t="shared" si="2"/>
        <v>-0.19794561545834161</v>
      </c>
      <c r="J45">
        <f t="shared" si="6"/>
        <v>0.72</v>
      </c>
    </row>
    <row r="46" spans="1:10" x14ac:dyDescent="0.2">
      <c r="A46" t="s">
        <v>53</v>
      </c>
      <c r="B46">
        <v>46</v>
      </c>
      <c r="C46" s="1">
        <f t="shared" si="7"/>
        <v>0.46468648445673022</v>
      </c>
      <c r="D46">
        <v>0.59090900000000002</v>
      </c>
      <c r="E46">
        <v>74</v>
      </c>
      <c r="F46">
        <f t="shared" si="4"/>
        <v>0.87027066589207092</v>
      </c>
      <c r="G46">
        <f t="shared" si="5"/>
        <v>0.84090909090909094</v>
      </c>
      <c r="H46">
        <v>39</v>
      </c>
      <c r="I46">
        <f t="shared" si="2"/>
        <v>7.1980223803032969E-2</v>
      </c>
      <c r="J46">
        <f t="shared" si="6"/>
        <v>0.78</v>
      </c>
    </row>
    <row r="47" spans="1:10" x14ac:dyDescent="0.2">
      <c r="A47" t="s">
        <v>54</v>
      </c>
      <c r="B47">
        <v>38</v>
      </c>
      <c r="C47" s="1">
        <f t="shared" si="7"/>
        <v>-0.32626923376749095</v>
      </c>
      <c r="D47">
        <v>0.69696999999999998</v>
      </c>
      <c r="E47">
        <v>75</v>
      </c>
      <c r="F47">
        <f t="shared" si="4"/>
        <v>0.93926154540786366</v>
      </c>
      <c r="G47">
        <f t="shared" si="5"/>
        <v>0.85227272727272729</v>
      </c>
      <c r="H47">
        <v>37</v>
      </c>
      <c r="I47">
        <f t="shared" si="2"/>
        <v>-0.10797033570455009</v>
      </c>
      <c r="J47">
        <f t="shared" si="6"/>
        <v>0.74</v>
      </c>
    </row>
    <row r="48" spans="1:10" x14ac:dyDescent="0.2">
      <c r="A48" t="s">
        <v>55</v>
      </c>
      <c r="B48">
        <v>41</v>
      </c>
      <c r="C48" s="1">
        <f t="shared" si="7"/>
        <v>-2.9660839433408012E-2</v>
      </c>
      <c r="D48">
        <v>0.57575799999999999</v>
      </c>
      <c r="E48">
        <v>0</v>
      </c>
      <c r="F48">
        <f t="shared" si="4"/>
        <v>-4.2350544182765901</v>
      </c>
      <c r="G48">
        <f t="shared" si="5"/>
        <v>0</v>
      </c>
      <c r="H48">
        <v>0</v>
      </c>
      <c r="I48">
        <f t="shared" si="2"/>
        <v>-3.4370556865948365</v>
      </c>
      <c r="J48">
        <f t="shared" si="6"/>
        <v>0</v>
      </c>
    </row>
    <row r="49" spans="1:10" x14ac:dyDescent="0.2">
      <c r="A49" t="s">
        <v>56</v>
      </c>
      <c r="B49">
        <v>40</v>
      </c>
      <c r="C49" s="1">
        <f t="shared" si="7"/>
        <v>-0.12853030421143566</v>
      </c>
      <c r="D49">
        <v>0.62121199999999999</v>
      </c>
      <c r="E49">
        <v>61</v>
      </c>
      <c r="F49">
        <f t="shared" si="4"/>
        <v>-2.6610767813234359E-2</v>
      </c>
      <c r="G49">
        <f t="shared" si="5"/>
        <v>0.69318181818181823</v>
      </c>
      <c r="H49">
        <v>46</v>
      </c>
      <c r="I49">
        <f t="shared" si="2"/>
        <v>0.7018071820795736</v>
      </c>
      <c r="J49">
        <f t="shared" si="6"/>
        <v>0.92</v>
      </c>
    </row>
    <row r="50" spans="1:10" x14ac:dyDescent="0.2">
      <c r="A50" t="s">
        <v>57</v>
      </c>
      <c r="B50">
        <v>0</v>
      </c>
      <c r="C50" s="1">
        <f t="shared" si="7"/>
        <v>-4.0833088953325412</v>
      </c>
      <c r="D50">
        <v>0.60606099999999996</v>
      </c>
      <c r="E50">
        <v>57</v>
      </c>
      <c r="F50">
        <f t="shared" si="4"/>
        <v>-0.30257428587640522</v>
      </c>
      <c r="G50">
        <f t="shared" si="5"/>
        <v>0.64772727272727271</v>
      </c>
      <c r="H50">
        <v>0</v>
      </c>
      <c r="I50">
        <f t="shared" si="2"/>
        <v>-3.4370556865948365</v>
      </c>
      <c r="J50">
        <f t="shared" si="6"/>
        <v>0</v>
      </c>
    </row>
    <row r="51" spans="1:10" x14ac:dyDescent="0.2">
      <c r="A51" t="s">
        <v>58</v>
      </c>
      <c r="B51">
        <v>42</v>
      </c>
      <c r="C51" s="1">
        <f t="shared" si="7"/>
        <v>6.9208625344619634E-2</v>
      </c>
      <c r="D51">
        <v>0</v>
      </c>
      <c r="E51">
        <v>62</v>
      </c>
      <c r="F51">
        <f t="shared" si="4"/>
        <v>4.2380111702558357E-2</v>
      </c>
      <c r="G51">
        <f t="shared" si="5"/>
        <v>0.70454545454545459</v>
      </c>
      <c r="H51">
        <v>43</v>
      </c>
      <c r="I51">
        <f t="shared" si="2"/>
        <v>0.43188134281819907</v>
      </c>
      <c r="J51">
        <f t="shared" si="6"/>
        <v>0.86</v>
      </c>
    </row>
    <row r="52" spans="1:10" x14ac:dyDescent="0.2">
      <c r="A52" t="s">
        <v>59</v>
      </c>
      <c r="B52">
        <v>39</v>
      </c>
      <c r="C52" s="1">
        <f t="shared" si="7"/>
        <v>-0.22739976898946329</v>
      </c>
      <c r="D52">
        <v>0.63636400000000004</v>
      </c>
      <c r="E52">
        <v>74</v>
      </c>
      <c r="F52">
        <f t="shared" si="4"/>
        <v>0.87027066589207092</v>
      </c>
      <c r="G52">
        <f t="shared" si="5"/>
        <v>0.84090909090909094</v>
      </c>
      <c r="H52">
        <v>49</v>
      </c>
      <c r="I52">
        <f t="shared" si="2"/>
        <v>0.97173302134094819</v>
      </c>
      <c r="J52">
        <f t="shared" si="6"/>
        <v>0.98</v>
      </c>
    </row>
    <row r="53" spans="1:10" x14ac:dyDescent="0.2">
      <c r="A53" t="s">
        <v>60</v>
      </c>
      <c r="B53">
        <v>56</v>
      </c>
      <c r="C53" s="1">
        <f t="shared" si="7"/>
        <v>1.4533811322370067</v>
      </c>
      <c r="D53">
        <v>0.59090900000000002</v>
      </c>
      <c r="E53">
        <v>76</v>
      </c>
      <c r="F53">
        <f t="shared" si="4"/>
        <v>1.0082524249236564</v>
      </c>
      <c r="G53">
        <f t="shared" si="5"/>
        <v>0.86363636363636365</v>
      </c>
      <c r="H53">
        <v>44</v>
      </c>
      <c r="I53">
        <f t="shared" si="2"/>
        <v>0.52185662257199061</v>
      </c>
      <c r="J53">
        <f t="shared" si="6"/>
        <v>0.88</v>
      </c>
    </row>
    <row r="54" spans="1:10" x14ac:dyDescent="0.2">
      <c r="A54" t="s">
        <v>61</v>
      </c>
      <c r="B54">
        <v>39</v>
      </c>
      <c r="C54" s="1">
        <f t="shared" si="7"/>
        <v>-0.22739976898946329</v>
      </c>
      <c r="D54">
        <v>0.84848500000000004</v>
      </c>
      <c r="E54">
        <v>58</v>
      </c>
      <c r="F54">
        <f t="shared" si="4"/>
        <v>-0.23358340636061251</v>
      </c>
      <c r="G54">
        <f t="shared" si="5"/>
        <v>0.65909090909090906</v>
      </c>
      <c r="H54">
        <v>41</v>
      </c>
      <c r="I54">
        <f t="shared" si="2"/>
        <v>0.25193078331061602</v>
      </c>
      <c r="J54">
        <f t="shared" si="6"/>
        <v>0.82</v>
      </c>
    </row>
    <row r="55" spans="1:10" x14ac:dyDescent="0.2">
      <c r="A55" t="s">
        <v>62</v>
      </c>
      <c r="B55">
        <v>45</v>
      </c>
      <c r="C55" s="1">
        <f t="shared" si="7"/>
        <v>0.36581701967870256</v>
      </c>
      <c r="D55">
        <v>0.59090900000000002</v>
      </c>
      <c r="E55">
        <v>63</v>
      </c>
      <c r="F55">
        <f t="shared" si="4"/>
        <v>0.11137099121835106</v>
      </c>
      <c r="G55">
        <f t="shared" si="5"/>
        <v>0.71590909090909094</v>
      </c>
      <c r="H55">
        <v>34</v>
      </c>
      <c r="I55">
        <f t="shared" si="2"/>
        <v>-0.37789617496592465</v>
      </c>
      <c r="J55">
        <f t="shared" si="6"/>
        <v>0.68</v>
      </c>
    </row>
    <row r="56" spans="1:10" x14ac:dyDescent="0.2">
      <c r="A56" t="s">
        <v>63</v>
      </c>
      <c r="B56">
        <v>38</v>
      </c>
      <c r="C56" s="1">
        <f t="shared" si="7"/>
        <v>-0.32626923376749095</v>
      </c>
      <c r="D56">
        <v>0.68181800000000004</v>
      </c>
      <c r="E56">
        <v>60</v>
      </c>
      <c r="F56">
        <f t="shared" si="4"/>
        <v>-9.5601647329027067E-2</v>
      </c>
      <c r="G56">
        <f t="shared" si="5"/>
        <v>0.68181818181818177</v>
      </c>
      <c r="H56">
        <v>37</v>
      </c>
      <c r="I56">
        <f t="shared" si="2"/>
        <v>-0.10797033570455009</v>
      </c>
      <c r="J56">
        <f t="shared" si="6"/>
        <v>0.74</v>
      </c>
    </row>
    <row r="57" spans="1:10" x14ac:dyDescent="0.2">
      <c r="A57" t="s">
        <v>64</v>
      </c>
      <c r="B57">
        <v>41</v>
      </c>
      <c r="C57" s="1">
        <f t="shared" si="7"/>
        <v>-2.9660839433408012E-2</v>
      </c>
      <c r="D57">
        <v>0.57575799999999999</v>
      </c>
      <c r="E57">
        <v>54</v>
      </c>
      <c r="F57">
        <f t="shared" si="4"/>
        <v>-0.50954692442378335</v>
      </c>
      <c r="G57">
        <f t="shared" si="5"/>
        <v>0.61363636363636365</v>
      </c>
      <c r="H57">
        <v>33</v>
      </c>
      <c r="I57">
        <f t="shared" si="2"/>
        <v>-0.4678714547197162</v>
      </c>
      <c r="J57">
        <f t="shared" si="6"/>
        <v>0.66</v>
      </c>
    </row>
    <row r="58" spans="1:10" x14ac:dyDescent="0.2">
      <c r="A58" t="s">
        <v>65</v>
      </c>
      <c r="B58">
        <v>38</v>
      </c>
      <c r="C58" s="1">
        <f t="shared" si="7"/>
        <v>-0.32626923376749095</v>
      </c>
      <c r="D58">
        <v>0.62121199999999999</v>
      </c>
      <c r="E58">
        <v>64</v>
      </c>
      <c r="F58">
        <f t="shared" si="4"/>
        <v>0.18036187073414378</v>
      </c>
      <c r="G58">
        <f t="shared" si="5"/>
        <v>0.72727272727272729</v>
      </c>
      <c r="H58">
        <v>47</v>
      </c>
      <c r="I58">
        <f t="shared" si="2"/>
        <v>0.7917824618333652</v>
      </c>
      <c r="J58">
        <f t="shared" si="6"/>
        <v>0.94</v>
      </c>
    </row>
    <row r="59" spans="1:10" x14ac:dyDescent="0.2">
      <c r="A59" t="s">
        <v>66</v>
      </c>
      <c r="B59">
        <v>52</v>
      </c>
      <c r="C59" s="1">
        <f t="shared" si="7"/>
        <v>1.0579032731248961</v>
      </c>
      <c r="D59">
        <v>0.57575799999999999</v>
      </c>
      <c r="E59">
        <v>61</v>
      </c>
      <c r="F59">
        <f t="shared" si="4"/>
        <v>-2.6610767813234359E-2</v>
      </c>
      <c r="G59">
        <f t="shared" si="5"/>
        <v>0.69318181818181823</v>
      </c>
      <c r="H59">
        <v>40</v>
      </c>
      <c r="I59">
        <f t="shared" si="2"/>
        <v>0.16195550355682448</v>
      </c>
      <c r="J59">
        <f t="shared" si="6"/>
        <v>0.8</v>
      </c>
    </row>
    <row r="60" spans="1:10" x14ac:dyDescent="0.2">
      <c r="A60" t="s">
        <v>67</v>
      </c>
      <c r="B60">
        <v>44</v>
      </c>
      <c r="C60" s="1">
        <f t="shared" si="7"/>
        <v>0.2669475549006749</v>
      </c>
      <c r="D60">
        <v>0.787879</v>
      </c>
      <c r="E60">
        <v>0</v>
      </c>
      <c r="F60">
        <f t="shared" si="4"/>
        <v>-4.2350544182765901</v>
      </c>
      <c r="G60">
        <f t="shared" si="5"/>
        <v>0</v>
      </c>
      <c r="H60">
        <v>27</v>
      </c>
      <c r="I60">
        <f t="shared" si="2"/>
        <v>-1.0077231332424654</v>
      </c>
      <c r="J60">
        <f t="shared" si="6"/>
        <v>0.54</v>
      </c>
    </row>
    <row r="61" spans="1:10" x14ac:dyDescent="0.2">
      <c r="A61" t="s">
        <v>68</v>
      </c>
      <c r="B61">
        <v>0</v>
      </c>
      <c r="C61" s="1">
        <f t="shared" si="7"/>
        <v>-4.0833088953325412</v>
      </c>
      <c r="D61">
        <v>0.66666700000000001</v>
      </c>
      <c r="E61">
        <v>64</v>
      </c>
      <c r="F61">
        <f t="shared" si="4"/>
        <v>0.18036187073414378</v>
      </c>
      <c r="G61">
        <f t="shared" si="5"/>
        <v>0.72727272727272729</v>
      </c>
      <c r="H61">
        <v>0</v>
      </c>
      <c r="I61">
        <f t="shared" si="2"/>
        <v>-3.4370556865948365</v>
      </c>
      <c r="J61">
        <f t="shared" si="6"/>
        <v>0</v>
      </c>
    </row>
    <row r="62" spans="1:10" x14ac:dyDescent="0.2">
      <c r="A62" t="s">
        <v>69</v>
      </c>
      <c r="B62">
        <v>0</v>
      </c>
      <c r="C62" s="1">
        <f t="shared" si="7"/>
        <v>-4.0833088953325412</v>
      </c>
      <c r="D62">
        <v>0</v>
      </c>
      <c r="E62">
        <v>58</v>
      </c>
      <c r="F62">
        <f t="shared" si="4"/>
        <v>-0.23358340636061251</v>
      </c>
      <c r="G62">
        <f t="shared" si="5"/>
        <v>0.65909090909090906</v>
      </c>
      <c r="H62">
        <v>44</v>
      </c>
      <c r="I62">
        <f t="shared" si="2"/>
        <v>0.52185662257199061</v>
      </c>
      <c r="J62">
        <f t="shared" si="6"/>
        <v>0.88</v>
      </c>
    </row>
    <row r="63" spans="1:10" x14ac:dyDescent="0.2">
      <c r="A63" t="s">
        <v>70</v>
      </c>
      <c r="B63">
        <v>49</v>
      </c>
      <c r="C63" s="1">
        <f t="shared" si="7"/>
        <v>0.76129487879081315</v>
      </c>
      <c r="D63">
        <v>0</v>
      </c>
      <c r="E63">
        <v>58</v>
      </c>
      <c r="F63">
        <f t="shared" si="4"/>
        <v>-0.23358340636061251</v>
      </c>
      <c r="G63">
        <f t="shared" si="5"/>
        <v>0.65909090909090906</v>
      </c>
      <c r="H63">
        <v>0</v>
      </c>
      <c r="I63">
        <f t="shared" si="2"/>
        <v>-3.4370556865948365</v>
      </c>
      <c r="J63">
        <f t="shared" si="6"/>
        <v>0</v>
      </c>
    </row>
    <row r="64" spans="1:10" x14ac:dyDescent="0.2">
      <c r="A64" t="s">
        <v>71</v>
      </c>
      <c r="B64">
        <v>42</v>
      </c>
      <c r="C64" s="1">
        <f t="shared" si="7"/>
        <v>6.9208625344619634E-2</v>
      </c>
      <c r="D64">
        <v>0.74242399999999997</v>
      </c>
      <c r="E64">
        <v>0</v>
      </c>
      <c r="F64">
        <f t="shared" si="4"/>
        <v>-4.2350544182765901</v>
      </c>
      <c r="G64">
        <f t="shared" si="5"/>
        <v>0</v>
      </c>
      <c r="H64">
        <v>33</v>
      </c>
      <c r="I64">
        <f t="shared" si="2"/>
        <v>-0.4678714547197162</v>
      </c>
      <c r="J64">
        <f t="shared" si="6"/>
        <v>0.66</v>
      </c>
    </row>
    <row r="65" spans="1:10" x14ac:dyDescent="0.2">
      <c r="A65" t="s">
        <v>72</v>
      </c>
      <c r="B65">
        <v>40</v>
      </c>
      <c r="C65" s="1">
        <f t="shared" si="7"/>
        <v>-0.12853030421143566</v>
      </c>
      <c r="D65">
        <v>0.63636400000000004</v>
      </c>
      <c r="E65">
        <v>54</v>
      </c>
      <c r="F65">
        <f t="shared" si="4"/>
        <v>-0.50954692442378335</v>
      </c>
      <c r="G65">
        <f t="shared" si="5"/>
        <v>0.61363636363636365</v>
      </c>
      <c r="H65">
        <v>33</v>
      </c>
      <c r="I65">
        <f t="shared" si="2"/>
        <v>-0.4678714547197162</v>
      </c>
      <c r="J65">
        <f t="shared" si="6"/>
        <v>0.66</v>
      </c>
    </row>
    <row r="66" spans="1:10" x14ac:dyDescent="0.2">
      <c r="A66" t="s">
        <v>73</v>
      </c>
      <c r="B66">
        <v>41</v>
      </c>
      <c r="C66" s="1">
        <f t="shared" si="7"/>
        <v>-2.9660839433408012E-2</v>
      </c>
      <c r="D66">
        <v>0.60606099999999996</v>
      </c>
      <c r="E66">
        <v>57</v>
      </c>
      <c r="F66">
        <f t="shared" si="4"/>
        <v>-0.30257428587640522</v>
      </c>
      <c r="G66">
        <f t="shared" ref="G66:G71" si="8">E66/88</f>
        <v>0.64772727272727271</v>
      </c>
      <c r="H66">
        <v>41</v>
      </c>
      <c r="I66">
        <f t="shared" si="2"/>
        <v>0.25193078331061602</v>
      </c>
      <c r="J66">
        <f t="shared" ref="J66:J71" si="9">H66/50</f>
        <v>0.82</v>
      </c>
    </row>
    <row r="67" spans="1:10" x14ac:dyDescent="0.2">
      <c r="A67" t="s">
        <v>74</v>
      </c>
      <c r="B67">
        <v>44</v>
      </c>
      <c r="C67" s="1">
        <f t="shared" si="7"/>
        <v>0.2669475549006749</v>
      </c>
      <c r="D67">
        <v>0.62121199999999999</v>
      </c>
      <c r="E67">
        <v>66</v>
      </c>
      <c r="F67">
        <f t="shared" si="4"/>
        <v>0.31834362976572922</v>
      </c>
      <c r="G67">
        <f t="shared" si="8"/>
        <v>0.75</v>
      </c>
      <c r="H67">
        <v>44</v>
      </c>
      <c r="I67">
        <f t="shared" ref="I67:I71" si="10">STANDARDIZE(H67,$H$76, $H$77)</f>
        <v>0.52185662257199061</v>
      </c>
      <c r="J67">
        <f t="shared" si="9"/>
        <v>0.88</v>
      </c>
    </row>
    <row r="68" spans="1:10" x14ac:dyDescent="0.2">
      <c r="A68" t="s">
        <v>75</v>
      </c>
      <c r="B68">
        <v>43</v>
      </c>
      <c r="C68" s="1">
        <f t="shared" si="7"/>
        <v>0.16807809012264727</v>
      </c>
      <c r="D68">
        <v>0.66666700000000001</v>
      </c>
      <c r="E68">
        <v>66</v>
      </c>
      <c r="F68">
        <f t="shared" si="4"/>
        <v>0.31834362976572922</v>
      </c>
      <c r="G68">
        <f t="shared" si="8"/>
        <v>0.75</v>
      </c>
      <c r="H68">
        <v>42</v>
      </c>
      <c r="I68">
        <f t="shared" si="10"/>
        <v>0.34190606306440752</v>
      </c>
      <c r="J68">
        <f t="shared" si="9"/>
        <v>0.84</v>
      </c>
    </row>
    <row r="69" spans="1:10" x14ac:dyDescent="0.2">
      <c r="A69" t="s">
        <v>76</v>
      </c>
      <c r="B69">
        <v>43</v>
      </c>
      <c r="C69" s="1">
        <f t="shared" si="7"/>
        <v>0.16807809012264727</v>
      </c>
      <c r="D69">
        <v>0.65151499999999996</v>
      </c>
      <c r="E69">
        <v>63</v>
      </c>
      <c r="F69">
        <f t="shared" si="4"/>
        <v>0.11137099121835106</v>
      </c>
      <c r="G69">
        <f t="shared" si="8"/>
        <v>0.71590909090909094</v>
      </c>
      <c r="H69">
        <v>48</v>
      </c>
      <c r="I69">
        <f t="shared" si="10"/>
        <v>0.8817577415871567</v>
      </c>
      <c r="J69">
        <f t="shared" si="9"/>
        <v>0.96</v>
      </c>
    </row>
    <row r="70" spans="1:10" x14ac:dyDescent="0.2">
      <c r="A70" t="s">
        <v>77</v>
      </c>
      <c r="B70">
        <v>37</v>
      </c>
      <c r="C70" s="1">
        <f t="shared" ref="C70:C71" si="11">STANDARDIZE(B70,$B$76,$B$77)</f>
        <v>-0.42513869854551861</v>
      </c>
      <c r="D70">
        <v>0.65151499999999996</v>
      </c>
      <c r="E70">
        <v>62</v>
      </c>
      <c r="F70">
        <f t="shared" si="4"/>
        <v>4.2380111702558357E-2</v>
      </c>
      <c r="G70">
        <f t="shared" si="8"/>
        <v>0.70454545454545459</v>
      </c>
      <c r="H70">
        <v>40</v>
      </c>
      <c r="I70">
        <f t="shared" si="10"/>
        <v>0.16195550355682448</v>
      </c>
      <c r="J70">
        <f t="shared" si="9"/>
        <v>0.8</v>
      </c>
    </row>
    <row r="71" spans="1:10" x14ac:dyDescent="0.2">
      <c r="A71" t="s">
        <v>78</v>
      </c>
      <c r="B71">
        <v>44</v>
      </c>
      <c r="C71" s="1">
        <f t="shared" si="11"/>
        <v>0.2669475549006749</v>
      </c>
      <c r="D71">
        <v>0.56060600000000005</v>
      </c>
      <c r="E71">
        <v>55</v>
      </c>
      <c r="F71">
        <f t="shared" si="4"/>
        <v>-0.44055604490799066</v>
      </c>
      <c r="G71">
        <f t="shared" si="8"/>
        <v>0.625</v>
      </c>
      <c r="H71">
        <v>46</v>
      </c>
      <c r="I71">
        <f t="shared" si="10"/>
        <v>0.7018071820795736</v>
      </c>
      <c r="J71">
        <f t="shared" si="9"/>
        <v>0.92</v>
      </c>
    </row>
    <row r="72" spans="1:10" x14ac:dyDescent="0.2">
      <c r="A72" t="s">
        <v>79</v>
      </c>
    </row>
    <row r="73" spans="1:10" x14ac:dyDescent="0.2">
      <c r="A73" t="s">
        <v>80</v>
      </c>
      <c r="D73" s="2"/>
    </row>
    <row r="74" spans="1:10" x14ac:dyDescent="0.2">
      <c r="A74" t="s">
        <v>81</v>
      </c>
      <c r="D74" s="2"/>
    </row>
    <row r="75" spans="1:10" x14ac:dyDescent="0.2">
      <c r="A75" t="s">
        <v>82</v>
      </c>
      <c r="D75" s="2"/>
    </row>
    <row r="76" spans="1:10" x14ac:dyDescent="0.2">
      <c r="A76" t="s">
        <v>83</v>
      </c>
      <c r="B76">
        <f>SUM(B2:B71)/COUNT(B1:B71)</f>
        <v>41.3</v>
      </c>
      <c r="D76" s="2"/>
      <c r="E76">
        <f>SUM(E2:E75)/COUNT(E2:E75)</f>
        <v>61.385714285714286</v>
      </c>
      <c r="H76">
        <f>SUM(H2:H75)/COUNT(H2:H75)</f>
        <v>38.200000000000003</v>
      </c>
    </row>
    <row r="77" spans="1:10" x14ac:dyDescent="0.2">
      <c r="A77" t="s">
        <v>84</v>
      </c>
      <c r="B77">
        <f>_xlfn.STDEV.S(B2:B71)</f>
        <v>10.114346246792225</v>
      </c>
      <c r="D77" s="3"/>
      <c r="E77">
        <f>_xlfn.STDEV.S(E2:E75)</f>
        <v>14.494669542096355</v>
      </c>
      <c r="H77">
        <f>_xlfn.STDEV.S(H2:H75)</f>
        <v>11.114163831848051</v>
      </c>
    </row>
    <row r="78" spans="1:10" x14ac:dyDescent="0.2">
      <c r="D78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A7E0-691D-4F88-9D69-632DF7EB1752}">
  <dimension ref="A1:G78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2.1640625" customWidth="1"/>
    <col min="2" max="3" width="18.5" customWidth="1"/>
    <col min="4" max="5" width="18.6640625" customWidth="1"/>
    <col min="6" max="6" width="17.6640625" customWidth="1"/>
    <col min="7" max="7" width="18.5" customWidth="1"/>
    <col min="8" max="8" width="14.33203125" customWidth="1"/>
    <col min="9" max="9" width="10.6640625" customWidth="1"/>
    <col min="10" max="10" width="14.33203125" customWidth="1"/>
    <col min="11" max="11" width="12.83203125" customWidth="1"/>
  </cols>
  <sheetData>
    <row r="1" spans="1:7" x14ac:dyDescent="0.2">
      <c r="A1" t="s">
        <v>85</v>
      </c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8</v>
      </c>
    </row>
    <row r="2" spans="1:7" x14ac:dyDescent="0.2">
      <c r="A2" t="s">
        <v>9</v>
      </c>
      <c r="B2">
        <v>39</v>
      </c>
      <c r="C2">
        <v>0.60606099999999996</v>
      </c>
      <c r="D2">
        <v>71</v>
      </c>
      <c r="E2">
        <f t="shared" ref="E2:E33" si="0">D2/88</f>
        <v>0.80681818181818177</v>
      </c>
      <c r="F2">
        <v>34</v>
      </c>
      <c r="G2">
        <f t="shared" ref="G2:G33" si="1">F2/50</f>
        <v>0.68</v>
      </c>
    </row>
    <row r="3" spans="1:7" x14ac:dyDescent="0.2">
      <c r="A3" t="s">
        <v>10</v>
      </c>
      <c r="B3">
        <v>42</v>
      </c>
      <c r="C3">
        <v>0.59090900000000002</v>
      </c>
      <c r="D3">
        <v>62</v>
      </c>
      <c r="E3">
        <f t="shared" si="0"/>
        <v>0.70454545454545459</v>
      </c>
      <c r="F3">
        <v>43</v>
      </c>
      <c r="G3">
        <f t="shared" si="1"/>
        <v>0.86</v>
      </c>
    </row>
    <row r="4" spans="1:7" x14ac:dyDescent="0.2">
      <c r="A4" t="s">
        <v>11</v>
      </c>
      <c r="B4">
        <v>40</v>
      </c>
      <c r="C4">
        <v>0.63636400000000004</v>
      </c>
      <c r="D4">
        <v>55</v>
      </c>
      <c r="E4">
        <f t="shared" si="0"/>
        <v>0.625</v>
      </c>
      <c r="F4">
        <v>33</v>
      </c>
      <c r="G4">
        <f t="shared" si="1"/>
        <v>0.66</v>
      </c>
    </row>
    <row r="5" spans="1:7" x14ac:dyDescent="0.2">
      <c r="A5" t="s">
        <v>12</v>
      </c>
      <c r="B5">
        <v>48</v>
      </c>
      <c r="C5">
        <v>0.60606099999999996</v>
      </c>
      <c r="D5">
        <v>69</v>
      </c>
      <c r="E5">
        <f t="shared" si="0"/>
        <v>0.78409090909090906</v>
      </c>
      <c r="F5">
        <v>41</v>
      </c>
      <c r="G5">
        <f t="shared" si="1"/>
        <v>0.82</v>
      </c>
    </row>
    <row r="6" spans="1:7" x14ac:dyDescent="0.2">
      <c r="A6" t="s">
        <v>13</v>
      </c>
      <c r="B6">
        <v>41</v>
      </c>
      <c r="C6">
        <v>0.72727299999999995</v>
      </c>
      <c r="D6">
        <v>62</v>
      </c>
      <c r="E6">
        <f t="shared" si="0"/>
        <v>0.70454545454545459</v>
      </c>
      <c r="F6">
        <v>42</v>
      </c>
      <c r="G6">
        <f t="shared" si="1"/>
        <v>0.84</v>
      </c>
    </row>
    <row r="7" spans="1:7" x14ac:dyDescent="0.2">
      <c r="A7" t="s">
        <v>14</v>
      </c>
      <c r="B7">
        <v>45</v>
      </c>
      <c r="C7">
        <v>0.62121199999999999</v>
      </c>
      <c r="D7">
        <v>64</v>
      </c>
      <c r="E7">
        <f t="shared" si="0"/>
        <v>0.72727272727272729</v>
      </c>
      <c r="F7">
        <v>32</v>
      </c>
      <c r="G7">
        <f t="shared" si="1"/>
        <v>0.64</v>
      </c>
    </row>
    <row r="8" spans="1:7" x14ac:dyDescent="0.2">
      <c r="A8" t="s">
        <v>15</v>
      </c>
      <c r="B8">
        <v>42</v>
      </c>
      <c r="C8">
        <v>0.68181800000000004</v>
      </c>
      <c r="D8">
        <v>77</v>
      </c>
      <c r="E8">
        <f t="shared" si="0"/>
        <v>0.875</v>
      </c>
      <c r="F8">
        <v>44</v>
      </c>
      <c r="G8">
        <f t="shared" si="1"/>
        <v>0.88</v>
      </c>
    </row>
    <row r="9" spans="1:7" x14ac:dyDescent="0.2">
      <c r="A9" t="s">
        <v>16</v>
      </c>
      <c r="B9">
        <v>39</v>
      </c>
      <c r="C9">
        <v>0.63636400000000004</v>
      </c>
      <c r="D9">
        <v>68</v>
      </c>
      <c r="E9">
        <f t="shared" si="0"/>
        <v>0.77272727272727271</v>
      </c>
      <c r="F9">
        <v>38</v>
      </c>
      <c r="G9">
        <f t="shared" si="1"/>
        <v>0.76</v>
      </c>
    </row>
    <row r="10" spans="1:7" x14ac:dyDescent="0.2">
      <c r="A10" t="s">
        <v>17</v>
      </c>
      <c r="B10">
        <v>44</v>
      </c>
      <c r="C10">
        <v>0.59090900000000002</v>
      </c>
      <c r="D10">
        <v>69</v>
      </c>
      <c r="E10">
        <f t="shared" si="0"/>
        <v>0.78409090909090906</v>
      </c>
      <c r="F10">
        <v>42</v>
      </c>
      <c r="G10">
        <f t="shared" si="1"/>
        <v>0.84</v>
      </c>
    </row>
    <row r="11" spans="1:7" x14ac:dyDescent="0.2">
      <c r="A11" t="s">
        <v>18</v>
      </c>
      <c r="B11">
        <v>44</v>
      </c>
      <c r="C11">
        <v>0.66666700000000001</v>
      </c>
      <c r="D11">
        <v>70</v>
      </c>
      <c r="E11">
        <f t="shared" si="0"/>
        <v>0.79545454545454541</v>
      </c>
      <c r="F11">
        <v>44</v>
      </c>
      <c r="G11">
        <f t="shared" si="1"/>
        <v>0.88</v>
      </c>
    </row>
    <row r="12" spans="1:7" x14ac:dyDescent="0.2">
      <c r="A12" t="s">
        <v>19</v>
      </c>
      <c r="B12">
        <v>42</v>
      </c>
      <c r="C12">
        <v>0.66666700000000001</v>
      </c>
      <c r="D12">
        <v>68</v>
      </c>
      <c r="E12">
        <f t="shared" si="0"/>
        <v>0.77272727272727271</v>
      </c>
      <c r="F12">
        <v>29</v>
      </c>
      <c r="G12">
        <f t="shared" si="1"/>
        <v>0.57999999999999996</v>
      </c>
    </row>
    <row r="13" spans="1:7" x14ac:dyDescent="0.2">
      <c r="A13" t="s">
        <v>20</v>
      </c>
      <c r="B13">
        <v>41</v>
      </c>
      <c r="C13">
        <v>0.63636400000000004</v>
      </c>
      <c r="D13">
        <v>66</v>
      </c>
      <c r="E13">
        <f t="shared" si="0"/>
        <v>0.75</v>
      </c>
      <c r="F13">
        <v>37</v>
      </c>
      <c r="G13">
        <f t="shared" si="1"/>
        <v>0.74</v>
      </c>
    </row>
    <row r="14" spans="1:7" x14ac:dyDescent="0.2">
      <c r="A14" t="s">
        <v>21</v>
      </c>
      <c r="B14">
        <v>38</v>
      </c>
      <c r="C14">
        <v>0.62121199999999999</v>
      </c>
      <c r="D14">
        <v>69</v>
      </c>
      <c r="E14">
        <f t="shared" si="0"/>
        <v>0.78409090909090906</v>
      </c>
      <c r="F14">
        <v>37</v>
      </c>
      <c r="G14">
        <f t="shared" si="1"/>
        <v>0.74</v>
      </c>
    </row>
    <row r="15" spans="1:7" x14ac:dyDescent="0.2">
      <c r="A15" t="s">
        <v>22</v>
      </c>
      <c r="B15">
        <v>53</v>
      </c>
      <c r="C15">
        <v>0.57575799999999999</v>
      </c>
      <c r="D15">
        <v>63</v>
      </c>
      <c r="E15">
        <f t="shared" si="0"/>
        <v>0.71590909090909094</v>
      </c>
      <c r="F15">
        <v>48</v>
      </c>
      <c r="G15">
        <f t="shared" si="1"/>
        <v>0.96</v>
      </c>
    </row>
    <row r="16" spans="1:7" x14ac:dyDescent="0.2">
      <c r="A16" t="s">
        <v>23</v>
      </c>
      <c r="B16">
        <v>38</v>
      </c>
      <c r="C16">
        <v>0.80303000000000002</v>
      </c>
      <c r="D16">
        <v>51</v>
      </c>
      <c r="E16">
        <f t="shared" si="0"/>
        <v>0.57954545454545459</v>
      </c>
      <c r="F16">
        <v>32</v>
      </c>
      <c r="G16">
        <f t="shared" si="1"/>
        <v>0.64</v>
      </c>
    </row>
    <row r="17" spans="1:7" x14ac:dyDescent="0.2">
      <c r="A17" t="s">
        <v>24</v>
      </c>
      <c r="B17">
        <v>39</v>
      </c>
      <c r="C17">
        <v>0.57575799999999999</v>
      </c>
      <c r="D17">
        <v>64</v>
      </c>
      <c r="E17">
        <f t="shared" si="0"/>
        <v>0.72727272727272729</v>
      </c>
      <c r="F17">
        <v>45</v>
      </c>
      <c r="G17">
        <f t="shared" si="1"/>
        <v>0.9</v>
      </c>
    </row>
    <row r="18" spans="1:7" x14ac:dyDescent="0.2">
      <c r="A18" t="s">
        <v>25</v>
      </c>
      <c r="B18">
        <v>43</v>
      </c>
      <c r="C18">
        <v>0.59090900000000002</v>
      </c>
      <c r="D18">
        <v>64</v>
      </c>
      <c r="E18">
        <f t="shared" si="0"/>
        <v>0.72727272727272729</v>
      </c>
      <c r="F18">
        <v>46</v>
      </c>
      <c r="G18">
        <f t="shared" si="1"/>
        <v>0.92</v>
      </c>
    </row>
    <row r="19" spans="1:7" x14ac:dyDescent="0.2">
      <c r="A19" t="s">
        <v>26</v>
      </c>
      <c r="B19">
        <v>30</v>
      </c>
      <c r="C19">
        <v>0.65151499999999996</v>
      </c>
      <c r="D19">
        <v>63</v>
      </c>
      <c r="E19">
        <f t="shared" si="0"/>
        <v>0.71590909090909094</v>
      </c>
      <c r="F19">
        <v>35</v>
      </c>
      <c r="G19">
        <f t="shared" si="1"/>
        <v>0.7</v>
      </c>
    </row>
    <row r="20" spans="1:7" x14ac:dyDescent="0.2">
      <c r="A20" t="s">
        <v>27</v>
      </c>
      <c r="B20">
        <v>44</v>
      </c>
      <c r="C20">
        <v>0.45454499999999998</v>
      </c>
      <c r="D20">
        <v>67</v>
      </c>
      <c r="E20">
        <f t="shared" si="0"/>
        <v>0.76136363636363635</v>
      </c>
      <c r="F20">
        <v>46</v>
      </c>
      <c r="G20">
        <f t="shared" si="1"/>
        <v>0.92</v>
      </c>
    </row>
    <row r="21" spans="1:7" x14ac:dyDescent="0.2">
      <c r="A21" t="s">
        <v>28</v>
      </c>
      <c r="B21">
        <v>49</v>
      </c>
      <c r="C21">
        <v>0.66666700000000001</v>
      </c>
      <c r="D21">
        <v>61</v>
      </c>
      <c r="E21">
        <f t="shared" si="0"/>
        <v>0.69318181818181823</v>
      </c>
      <c r="F21">
        <v>43</v>
      </c>
      <c r="G21">
        <f t="shared" si="1"/>
        <v>0.86</v>
      </c>
    </row>
    <row r="22" spans="1:7" x14ac:dyDescent="0.2">
      <c r="A22" t="s">
        <v>29</v>
      </c>
      <c r="B22">
        <v>42</v>
      </c>
      <c r="C22">
        <v>0.74242399999999997</v>
      </c>
      <c r="D22">
        <v>55</v>
      </c>
      <c r="E22">
        <f t="shared" si="0"/>
        <v>0.625</v>
      </c>
      <c r="F22">
        <v>42</v>
      </c>
      <c r="G22">
        <f t="shared" si="1"/>
        <v>0.84</v>
      </c>
    </row>
    <row r="23" spans="1:7" x14ac:dyDescent="0.2">
      <c r="A23" t="s">
        <v>30</v>
      </c>
      <c r="B23">
        <v>40</v>
      </c>
      <c r="C23">
        <v>0.63636400000000004</v>
      </c>
      <c r="D23">
        <v>61</v>
      </c>
      <c r="E23">
        <f t="shared" si="0"/>
        <v>0.69318181818181823</v>
      </c>
      <c r="F23">
        <v>31</v>
      </c>
      <c r="G23">
        <f t="shared" si="1"/>
        <v>0.62</v>
      </c>
    </row>
    <row r="24" spans="1:7" x14ac:dyDescent="0.2">
      <c r="A24" t="s">
        <v>31</v>
      </c>
      <c r="B24">
        <v>36</v>
      </c>
      <c r="C24">
        <v>0.60606099999999996</v>
      </c>
      <c r="D24">
        <v>68</v>
      </c>
      <c r="E24">
        <f t="shared" si="0"/>
        <v>0.77272727272727271</v>
      </c>
      <c r="F24">
        <v>48</v>
      </c>
      <c r="G24">
        <f t="shared" si="1"/>
        <v>0.96</v>
      </c>
    </row>
    <row r="25" spans="1:7" x14ac:dyDescent="0.2">
      <c r="A25" t="s">
        <v>32</v>
      </c>
      <c r="B25">
        <v>44</v>
      </c>
      <c r="C25">
        <v>0.54545500000000002</v>
      </c>
      <c r="D25">
        <v>64</v>
      </c>
      <c r="E25">
        <f t="shared" si="0"/>
        <v>0.72727272727272729</v>
      </c>
      <c r="F25">
        <v>48</v>
      </c>
      <c r="G25">
        <f t="shared" si="1"/>
        <v>0.96</v>
      </c>
    </row>
    <row r="26" spans="1:7" x14ac:dyDescent="0.2">
      <c r="A26" t="s">
        <v>33</v>
      </c>
      <c r="B26">
        <v>50</v>
      </c>
      <c r="C26">
        <v>0.66666700000000001</v>
      </c>
      <c r="D26">
        <v>71</v>
      </c>
      <c r="E26">
        <f t="shared" si="0"/>
        <v>0.80681818181818177</v>
      </c>
      <c r="F26">
        <v>48</v>
      </c>
      <c r="G26">
        <f t="shared" si="1"/>
        <v>0.96</v>
      </c>
    </row>
    <row r="27" spans="1:7" x14ac:dyDescent="0.2">
      <c r="A27" t="s">
        <v>34</v>
      </c>
      <c r="B27">
        <v>48</v>
      </c>
      <c r="C27">
        <v>0.75757600000000003</v>
      </c>
      <c r="D27">
        <v>66</v>
      </c>
      <c r="E27">
        <f t="shared" si="0"/>
        <v>0.75</v>
      </c>
      <c r="F27">
        <v>32</v>
      </c>
      <c r="G27">
        <f t="shared" si="1"/>
        <v>0.64</v>
      </c>
    </row>
    <row r="28" spans="1:7" x14ac:dyDescent="0.2">
      <c r="A28" t="s">
        <v>35</v>
      </c>
      <c r="B28">
        <v>39</v>
      </c>
      <c r="C28">
        <v>0.72727299999999995</v>
      </c>
      <c r="D28">
        <v>70</v>
      </c>
      <c r="E28">
        <f t="shared" si="0"/>
        <v>0.79545454545454541</v>
      </c>
      <c r="F28">
        <v>43</v>
      </c>
      <c r="G28">
        <f t="shared" si="1"/>
        <v>0.86</v>
      </c>
    </row>
    <row r="29" spans="1:7" x14ac:dyDescent="0.2">
      <c r="A29" t="s">
        <v>36</v>
      </c>
      <c r="B29">
        <v>50</v>
      </c>
      <c r="C29">
        <v>0.59090900000000002</v>
      </c>
      <c r="D29">
        <v>52</v>
      </c>
      <c r="E29">
        <f t="shared" si="0"/>
        <v>0.59090909090909094</v>
      </c>
      <c r="F29">
        <v>48</v>
      </c>
      <c r="G29">
        <f t="shared" si="1"/>
        <v>0.96</v>
      </c>
    </row>
    <row r="30" spans="1:7" x14ac:dyDescent="0.2">
      <c r="A30" t="s">
        <v>37</v>
      </c>
      <c r="B30">
        <v>49</v>
      </c>
      <c r="C30">
        <v>0.75757600000000003</v>
      </c>
      <c r="D30">
        <v>69</v>
      </c>
      <c r="E30">
        <f t="shared" si="0"/>
        <v>0.78409090909090906</v>
      </c>
      <c r="F30">
        <v>49</v>
      </c>
      <c r="G30">
        <f t="shared" si="1"/>
        <v>0.98</v>
      </c>
    </row>
    <row r="31" spans="1:7" x14ac:dyDescent="0.2">
      <c r="A31" t="s">
        <v>38</v>
      </c>
      <c r="B31">
        <v>41</v>
      </c>
      <c r="C31">
        <v>0.74242399999999997</v>
      </c>
      <c r="D31">
        <v>61</v>
      </c>
      <c r="E31">
        <f t="shared" si="0"/>
        <v>0.69318181818181823</v>
      </c>
      <c r="F31">
        <v>31</v>
      </c>
      <c r="G31">
        <f t="shared" si="1"/>
        <v>0.62</v>
      </c>
    </row>
    <row r="32" spans="1:7" x14ac:dyDescent="0.2">
      <c r="A32" t="s">
        <v>39</v>
      </c>
      <c r="B32">
        <v>49</v>
      </c>
      <c r="C32">
        <v>0.62121199999999999</v>
      </c>
      <c r="D32">
        <v>66</v>
      </c>
      <c r="E32">
        <f t="shared" si="0"/>
        <v>0.75</v>
      </c>
      <c r="F32">
        <v>33</v>
      </c>
      <c r="G32">
        <f t="shared" si="1"/>
        <v>0.66</v>
      </c>
    </row>
    <row r="33" spans="1:7" x14ac:dyDescent="0.2">
      <c r="A33" t="s">
        <v>40</v>
      </c>
      <c r="B33">
        <v>36</v>
      </c>
      <c r="C33">
        <v>0.74242399999999997</v>
      </c>
      <c r="D33">
        <v>78</v>
      </c>
      <c r="E33">
        <f t="shared" si="0"/>
        <v>0.88636363636363635</v>
      </c>
      <c r="F33">
        <v>49</v>
      </c>
      <c r="G33">
        <f t="shared" si="1"/>
        <v>0.98</v>
      </c>
    </row>
    <row r="34" spans="1:7" x14ac:dyDescent="0.2">
      <c r="A34" t="s">
        <v>41</v>
      </c>
      <c r="B34">
        <v>43</v>
      </c>
      <c r="C34">
        <v>0.54545500000000002</v>
      </c>
      <c r="D34">
        <v>71</v>
      </c>
      <c r="E34">
        <f t="shared" ref="E34:E65" si="2">D34/88</f>
        <v>0.80681818181818177</v>
      </c>
      <c r="F34">
        <v>46</v>
      </c>
      <c r="G34">
        <f t="shared" ref="G34:G65" si="3">F34/50</f>
        <v>0.92</v>
      </c>
    </row>
    <row r="35" spans="1:7" x14ac:dyDescent="0.2">
      <c r="A35" t="s">
        <v>42</v>
      </c>
      <c r="B35">
        <v>62</v>
      </c>
      <c r="C35">
        <v>0.65151499999999996</v>
      </c>
      <c r="D35">
        <v>76</v>
      </c>
      <c r="E35">
        <f t="shared" si="2"/>
        <v>0.86363636363636365</v>
      </c>
      <c r="F35">
        <v>41</v>
      </c>
      <c r="G35">
        <f t="shared" si="3"/>
        <v>0.82</v>
      </c>
    </row>
    <row r="36" spans="1:7" x14ac:dyDescent="0.2">
      <c r="A36" t="s">
        <v>43</v>
      </c>
      <c r="B36">
        <v>49</v>
      </c>
      <c r="C36">
        <v>0.93939399999999995</v>
      </c>
      <c r="D36">
        <v>67</v>
      </c>
      <c r="E36">
        <f t="shared" si="2"/>
        <v>0.76136363636363635</v>
      </c>
      <c r="F36">
        <v>34</v>
      </c>
      <c r="G36">
        <f t="shared" si="3"/>
        <v>0.68</v>
      </c>
    </row>
    <row r="37" spans="1:7" x14ac:dyDescent="0.2">
      <c r="A37" t="s">
        <v>44</v>
      </c>
      <c r="B37">
        <v>41</v>
      </c>
      <c r="C37">
        <v>0.74242399999999997</v>
      </c>
      <c r="D37">
        <v>58</v>
      </c>
      <c r="E37">
        <f t="shared" si="2"/>
        <v>0.65909090909090906</v>
      </c>
      <c r="F37">
        <v>44</v>
      </c>
      <c r="G37">
        <f t="shared" si="3"/>
        <v>0.88</v>
      </c>
    </row>
    <row r="38" spans="1:7" x14ac:dyDescent="0.2">
      <c r="A38" t="s">
        <v>45</v>
      </c>
      <c r="B38">
        <v>43</v>
      </c>
      <c r="C38">
        <v>0.62121199999999999</v>
      </c>
      <c r="D38">
        <v>61</v>
      </c>
      <c r="E38">
        <f t="shared" si="2"/>
        <v>0.69318181818181823</v>
      </c>
      <c r="F38">
        <v>44</v>
      </c>
      <c r="G38">
        <f t="shared" si="3"/>
        <v>0.88</v>
      </c>
    </row>
    <row r="39" spans="1:7" x14ac:dyDescent="0.2">
      <c r="A39" t="s">
        <v>46</v>
      </c>
      <c r="B39">
        <v>47</v>
      </c>
      <c r="C39">
        <v>0.65151499999999996</v>
      </c>
      <c r="D39">
        <v>70</v>
      </c>
      <c r="E39">
        <f t="shared" si="2"/>
        <v>0.79545454545454541</v>
      </c>
      <c r="F39">
        <v>40</v>
      </c>
      <c r="G39">
        <f t="shared" si="3"/>
        <v>0.8</v>
      </c>
    </row>
    <row r="40" spans="1:7" x14ac:dyDescent="0.2">
      <c r="A40" t="s">
        <v>47</v>
      </c>
      <c r="B40">
        <v>45</v>
      </c>
      <c r="C40">
        <v>0.712121</v>
      </c>
      <c r="D40">
        <v>71</v>
      </c>
      <c r="E40">
        <f t="shared" si="2"/>
        <v>0.80681818181818177</v>
      </c>
      <c r="F40">
        <v>44</v>
      </c>
      <c r="G40">
        <f t="shared" si="3"/>
        <v>0.88</v>
      </c>
    </row>
    <row r="41" spans="1:7" x14ac:dyDescent="0.2">
      <c r="A41" t="s">
        <v>48</v>
      </c>
      <c r="B41">
        <v>47</v>
      </c>
      <c r="C41">
        <v>0.68181800000000004</v>
      </c>
      <c r="D41">
        <v>59</v>
      </c>
      <c r="E41">
        <f t="shared" si="2"/>
        <v>0.67045454545454541</v>
      </c>
      <c r="F41">
        <v>40</v>
      </c>
      <c r="G41">
        <f t="shared" si="3"/>
        <v>0.8</v>
      </c>
    </row>
    <row r="42" spans="1:7" x14ac:dyDescent="0.2">
      <c r="A42" t="s">
        <v>49</v>
      </c>
      <c r="B42">
        <v>43</v>
      </c>
      <c r="C42">
        <v>0.712121</v>
      </c>
      <c r="D42">
        <v>60</v>
      </c>
      <c r="E42">
        <f t="shared" si="2"/>
        <v>0.68181818181818177</v>
      </c>
      <c r="F42">
        <v>49</v>
      </c>
      <c r="G42">
        <f t="shared" si="3"/>
        <v>0.98</v>
      </c>
    </row>
    <row r="43" spans="1:7" x14ac:dyDescent="0.2">
      <c r="A43" t="s">
        <v>50</v>
      </c>
      <c r="B43">
        <v>41</v>
      </c>
      <c r="C43">
        <v>0.65151499999999996</v>
      </c>
      <c r="D43">
        <v>55</v>
      </c>
      <c r="E43">
        <f t="shared" si="2"/>
        <v>0.625</v>
      </c>
      <c r="F43">
        <v>30</v>
      </c>
      <c r="G43">
        <f t="shared" si="3"/>
        <v>0.6</v>
      </c>
    </row>
    <row r="44" spans="1:7" x14ac:dyDescent="0.2">
      <c r="A44" t="s">
        <v>51</v>
      </c>
      <c r="B44">
        <v>44</v>
      </c>
      <c r="C44">
        <v>0.62121199999999999</v>
      </c>
      <c r="D44">
        <v>62</v>
      </c>
      <c r="E44">
        <f t="shared" si="2"/>
        <v>0.70454545454545459</v>
      </c>
      <c r="F44">
        <v>45</v>
      </c>
      <c r="G44">
        <f t="shared" si="3"/>
        <v>0.9</v>
      </c>
    </row>
    <row r="45" spans="1:7" x14ac:dyDescent="0.2">
      <c r="A45" t="s">
        <v>52</v>
      </c>
      <c r="B45">
        <v>39</v>
      </c>
      <c r="C45">
        <v>0.66666700000000001</v>
      </c>
      <c r="D45">
        <v>61</v>
      </c>
      <c r="E45">
        <f t="shared" si="2"/>
        <v>0.69318181818181823</v>
      </c>
      <c r="F45">
        <v>36</v>
      </c>
      <c r="G45">
        <f t="shared" si="3"/>
        <v>0.72</v>
      </c>
    </row>
    <row r="46" spans="1:7" x14ac:dyDescent="0.2">
      <c r="A46" t="s">
        <v>53</v>
      </c>
      <c r="B46">
        <v>46</v>
      </c>
      <c r="C46">
        <v>0.59090900000000002</v>
      </c>
      <c r="D46">
        <v>74</v>
      </c>
      <c r="E46">
        <f t="shared" si="2"/>
        <v>0.84090909090909094</v>
      </c>
      <c r="F46">
        <v>39</v>
      </c>
      <c r="G46">
        <f t="shared" si="3"/>
        <v>0.78</v>
      </c>
    </row>
    <row r="47" spans="1:7" x14ac:dyDescent="0.2">
      <c r="A47" t="s">
        <v>54</v>
      </c>
      <c r="B47">
        <v>38</v>
      </c>
      <c r="C47">
        <v>0.69696999999999998</v>
      </c>
      <c r="D47">
        <v>75</v>
      </c>
      <c r="E47">
        <f t="shared" si="2"/>
        <v>0.85227272727272729</v>
      </c>
      <c r="F47">
        <v>37</v>
      </c>
      <c r="G47">
        <f t="shared" si="3"/>
        <v>0.74</v>
      </c>
    </row>
    <row r="48" spans="1:7" x14ac:dyDescent="0.2">
      <c r="A48" t="s">
        <v>55</v>
      </c>
      <c r="B48">
        <v>41</v>
      </c>
      <c r="C48">
        <v>0.57575799999999999</v>
      </c>
      <c r="D48">
        <v>0</v>
      </c>
      <c r="E48">
        <f t="shared" si="2"/>
        <v>0</v>
      </c>
      <c r="F48">
        <v>0</v>
      </c>
      <c r="G48">
        <f t="shared" si="3"/>
        <v>0</v>
      </c>
    </row>
    <row r="49" spans="1:7" x14ac:dyDescent="0.2">
      <c r="A49" t="s">
        <v>56</v>
      </c>
      <c r="B49">
        <v>40</v>
      </c>
      <c r="C49">
        <v>0.62121199999999999</v>
      </c>
      <c r="D49">
        <v>61</v>
      </c>
      <c r="E49">
        <f t="shared" si="2"/>
        <v>0.69318181818181823</v>
      </c>
      <c r="F49">
        <v>46</v>
      </c>
      <c r="G49">
        <f t="shared" si="3"/>
        <v>0.92</v>
      </c>
    </row>
    <row r="50" spans="1:7" x14ac:dyDescent="0.2">
      <c r="A50" t="s">
        <v>57</v>
      </c>
      <c r="B50">
        <v>0</v>
      </c>
      <c r="C50">
        <v>0.60606099999999996</v>
      </c>
      <c r="D50">
        <v>57</v>
      </c>
      <c r="E50">
        <f t="shared" si="2"/>
        <v>0.64772727272727271</v>
      </c>
      <c r="F50">
        <v>0</v>
      </c>
      <c r="G50">
        <f t="shared" si="3"/>
        <v>0</v>
      </c>
    </row>
    <row r="51" spans="1:7" x14ac:dyDescent="0.2">
      <c r="A51" t="s">
        <v>58</v>
      </c>
      <c r="B51">
        <v>42</v>
      </c>
      <c r="C51">
        <v>0</v>
      </c>
      <c r="D51">
        <v>62</v>
      </c>
      <c r="E51">
        <f t="shared" si="2"/>
        <v>0.70454545454545459</v>
      </c>
      <c r="F51">
        <v>43</v>
      </c>
      <c r="G51">
        <f t="shared" si="3"/>
        <v>0.86</v>
      </c>
    </row>
    <row r="52" spans="1:7" x14ac:dyDescent="0.2">
      <c r="A52" t="s">
        <v>59</v>
      </c>
      <c r="B52">
        <v>39</v>
      </c>
      <c r="C52">
        <v>0.63636400000000004</v>
      </c>
      <c r="D52">
        <v>74</v>
      </c>
      <c r="E52">
        <f t="shared" si="2"/>
        <v>0.84090909090909094</v>
      </c>
      <c r="F52">
        <v>49</v>
      </c>
      <c r="G52">
        <f t="shared" si="3"/>
        <v>0.98</v>
      </c>
    </row>
    <row r="53" spans="1:7" x14ac:dyDescent="0.2">
      <c r="A53" t="s">
        <v>60</v>
      </c>
      <c r="B53">
        <v>56</v>
      </c>
      <c r="C53">
        <v>0.59090900000000002</v>
      </c>
      <c r="D53">
        <v>76</v>
      </c>
      <c r="E53">
        <f t="shared" si="2"/>
        <v>0.86363636363636365</v>
      </c>
      <c r="F53">
        <v>44</v>
      </c>
      <c r="G53">
        <f t="shared" si="3"/>
        <v>0.88</v>
      </c>
    </row>
    <row r="54" spans="1:7" x14ac:dyDescent="0.2">
      <c r="A54" t="s">
        <v>61</v>
      </c>
      <c r="B54">
        <v>39</v>
      </c>
      <c r="C54">
        <v>0.84848500000000004</v>
      </c>
      <c r="D54">
        <v>58</v>
      </c>
      <c r="E54">
        <f t="shared" si="2"/>
        <v>0.65909090909090906</v>
      </c>
      <c r="F54">
        <v>41</v>
      </c>
      <c r="G54">
        <f t="shared" si="3"/>
        <v>0.82</v>
      </c>
    </row>
    <row r="55" spans="1:7" x14ac:dyDescent="0.2">
      <c r="A55" t="s">
        <v>62</v>
      </c>
      <c r="B55">
        <v>45</v>
      </c>
      <c r="C55">
        <v>0.59090900000000002</v>
      </c>
      <c r="D55">
        <v>63</v>
      </c>
      <c r="E55">
        <f t="shared" si="2"/>
        <v>0.71590909090909094</v>
      </c>
      <c r="F55">
        <v>34</v>
      </c>
      <c r="G55">
        <f t="shared" si="3"/>
        <v>0.68</v>
      </c>
    </row>
    <row r="56" spans="1:7" x14ac:dyDescent="0.2">
      <c r="A56" t="s">
        <v>63</v>
      </c>
      <c r="B56">
        <v>38</v>
      </c>
      <c r="C56">
        <v>0.68181800000000004</v>
      </c>
      <c r="D56">
        <v>60</v>
      </c>
      <c r="E56">
        <f t="shared" si="2"/>
        <v>0.68181818181818177</v>
      </c>
      <c r="F56">
        <v>37</v>
      </c>
      <c r="G56">
        <f t="shared" si="3"/>
        <v>0.74</v>
      </c>
    </row>
    <row r="57" spans="1:7" x14ac:dyDescent="0.2">
      <c r="A57" t="s">
        <v>64</v>
      </c>
      <c r="B57">
        <v>41</v>
      </c>
      <c r="C57">
        <v>0.57575799999999999</v>
      </c>
      <c r="D57">
        <v>54</v>
      </c>
      <c r="E57">
        <f t="shared" si="2"/>
        <v>0.61363636363636365</v>
      </c>
      <c r="F57">
        <v>33</v>
      </c>
      <c r="G57">
        <f t="shared" si="3"/>
        <v>0.66</v>
      </c>
    </row>
    <row r="58" spans="1:7" x14ac:dyDescent="0.2">
      <c r="A58" t="s">
        <v>65</v>
      </c>
      <c r="B58">
        <v>38</v>
      </c>
      <c r="C58">
        <v>0.62121199999999999</v>
      </c>
      <c r="D58">
        <v>64</v>
      </c>
      <c r="E58">
        <f t="shared" si="2"/>
        <v>0.72727272727272729</v>
      </c>
      <c r="F58">
        <v>47</v>
      </c>
      <c r="G58">
        <f t="shared" si="3"/>
        <v>0.94</v>
      </c>
    </row>
    <row r="59" spans="1:7" x14ac:dyDescent="0.2">
      <c r="A59" t="s">
        <v>66</v>
      </c>
      <c r="B59">
        <v>52</v>
      </c>
      <c r="C59">
        <v>0.57575799999999999</v>
      </c>
      <c r="D59">
        <v>61</v>
      </c>
      <c r="E59">
        <f t="shared" si="2"/>
        <v>0.69318181818181823</v>
      </c>
      <c r="F59">
        <v>40</v>
      </c>
      <c r="G59">
        <f t="shared" si="3"/>
        <v>0.8</v>
      </c>
    </row>
    <row r="60" spans="1:7" x14ac:dyDescent="0.2">
      <c r="A60" t="s">
        <v>67</v>
      </c>
      <c r="B60">
        <v>44</v>
      </c>
      <c r="C60">
        <v>0.787879</v>
      </c>
      <c r="D60">
        <v>0</v>
      </c>
      <c r="E60">
        <f t="shared" si="2"/>
        <v>0</v>
      </c>
      <c r="F60">
        <v>27</v>
      </c>
      <c r="G60">
        <f t="shared" si="3"/>
        <v>0.54</v>
      </c>
    </row>
    <row r="61" spans="1:7" x14ac:dyDescent="0.2">
      <c r="A61" t="s">
        <v>68</v>
      </c>
      <c r="B61">
        <v>0</v>
      </c>
      <c r="C61">
        <v>0.66666700000000001</v>
      </c>
      <c r="D61">
        <v>64</v>
      </c>
      <c r="E61">
        <f t="shared" si="2"/>
        <v>0.72727272727272729</v>
      </c>
      <c r="F61">
        <v>0</v>
      </c>
      <c r="G61">
        <f t="shared" si="3"/>
        <v>0</v>
      </c>
    </row>
    <row r="62" spans="1:7" x14ac:dyDescent="0.2">
      <c r="A62" t="s">
        <v>69</v>
      </c>
      <c r="B62">
        <v>0</v>
      </c>
      <c r="C62">
        <v>0</v>
      </c>
      <c r="D62">
        <v>58</v>
      </c>
      <c r="E62">
        <f t="shared" si="2"/>
        <v>0.65909090909090906</v>
      </c>
      <c r="F62">
        <v>44</v>
      </c>
      <c r="G62">
        <f t="shared" si="3"/>
        <v>0.88</v>
      </c>
    </row>
    <row r="63" spans="1:7" x14ac:dyDescent="0.2">
      <c r="A63" t="s">
        <v>70</v>
      </c>
      <c r="B63">
        <v>49</v>
      </c>
      <c r="C63">
        <v>0</v>
      </c>
      <c r="D63">
        <v>58</v>
      </c>
      <c r="E63">
        <f t="shared" si="2"/>
        <v>0.65909090909090906</v>
      </c>
      <c r="F63">
        <v>0</v>
      </c>
      <c r="G63">
        <f t="shared" si="3"/>
        <v>0</v>
      </c>
    </row>
    <row r="64" spans="1:7" x14ac:dyDescent="0.2">
      <c r="A64" t="s">
        <v>71</v>
      </c>
      <c r="B64">
        <v>42</v>
      </c>
      <c r="C64">
        <v>0.74242399999999997</v>
      </c>
      <c r="D64">
        <v>0</v>
      </c>
      <c r="E64">
        <f t="shared" si="2"/>
        <v>0</v>
      </c>
      <c r="F64">
        <v>33</v>
      </c>
      <c r="G64">
        <f t="shared" si="3"/>
        <v>0.66</v>
      </c>
    </row>
    <row r="65" spans="1:7" x14ac:dyDescent="0.2">
      <c r="A65" t="s">
        <v>72</v>
      </c>
      <c r="B65">
        <v>40</v>
      </c>
      <c r="C65">
        <v>0.63636400000000004</v>
      </c>
      <c r="D65">
        <v>54</v>
      </c>
      <c r="E65">
        <f t="shared" si="2"/>
        <v>0.61363636363636365</v>
      </c>
      <c r="F65">
        <v>33</v>
      </c>
      <c r="G65">
        <f t="shared" si="3"/>
        <v>0.66</v>
      </c>
    </row>
    <row r="66" spans="1:7" x14ac:dyDescent="0.2">
      <c r="A66" t="s">
        <v>73</v>
      </c>
      <c r="B66">
        <v>41</v>
      </c>
      <c r="C66">
        <v>0.60606099999999996</v>
      </c>
      <c r="D66">
        <v>57</v>
      </c>
      <c r="E66">
        <f t="shared" ref="E66:E71" si="4">D66/88</f>
        <v>0.64772727272727271</v>
      </c>
      <c r="F66">
        <v>41</v>
      </c>
      <c r="G66">
        <f t="shared" ref="G66:G71" si="5">F66/50</f>
        <v>0.82</v>
      </c>
    </row>
    <row r="67" spans="1:7" x14ac:dyDescent="0.2">
      <c r="A67" t="s">
        <v>74</v>
      </c>
      <c r="B67">
        <v>44</v>
      </c>
      <c r="C67">
        <v>0.62121199999999999</v>
      </c>
      <c r="D67">
        <v>66</v>
      </c>
      <c r="E67">
        <f t="shared" si="4"/>
        <v>0.75</v>
      </c>
      <c r="F67">
        <v>44</v>
      </c>
      <c r="G67">
        <f t="shared" si="5"/>
        <v>0.88</v>
      </c>
    </row>
    <row r="68" spans="1:7" x14ac:dyDescent="0.2">
      <c r="A68" t="s">
        <v>75</v>
      </c>
      <c r="B68">
        <v>43</v>
      </c>
      <c r="C68">
        <v>0.66666700000000001</v>
      </c>
      <c r="D68">
        <v>66</v>
      </c>
      <c r="E68">
        <f t="shared" si="4"/>
        <v>0.75</v>
      </c>
      <c r="F68">
        <v>42</v>
      </c>
      <c r="G68">
        <f t="shared" si="5"/>
        <v>0.84</v>
      </c>
    </row>
    <row r="69" spans="1:7" x14ac:dyDescent="0.2">
      <c r="A69" t="s">
        <v>76</v>
      </c>
      <c r="B69">
        <v>43</v>
      </c>
      <c r="C69">
        <v>0.65151499999999996</v>
      </c>
      <c r="D69">
        <v>63</v>
      </c>
      <c r="E69">
        <f t="shared" si="4"/>
        <v>0.71590909090909094</v>
      </c>
      <c r="F69">
        <v>48</v>
      </c>
      <c r="G69">
        <f t="shared" si="5"/>
        <v>0.96</v>
      </c>
    </row>
    <row r="70" spans="1:7" x14ac:dyDescent="0.2">
      <c r="A70" t="s">
        <v>77</v>
      </c>
      <c r="B70">
        <v>37</v>
      </c>
      <c r="C70">
        <v>0.65151499999999996</v>
      </c>
      <c r="D70">
        <v>62</v>
      </c>
      <c r="E70">
        <f t="shared" si="4"/>
        <v>0.70454545454545459</v>
      </c>
      <c r="F70">
        <v>40</v>
      </c>
      <c r="G70">
        <f t="shared" si="5"/>
        <v>0.8</v>
      </c>
    </row>
    <row r="71" spans="1:7" x14ac:dyDescent="0.2">
      <c r="A71" t="s">
        <v>78</v>
      </c>
      <c r="B71">
        <v>44</v>
      </c>
      <c r="C71">
        <v>0.56060600000000005</v>
      </c>
      <c r="D71">
        <v>55</v>
      </c>
      <c r="E71">
        <f t="shared" si="4"/>
        <v>0.625</v>
      </c>
      <c r="F71">
        <v>46</v>
      </c>
      <c r="G71">
        <f t="shared" si="5"/>
        <v>0.92</v>
      </c>
    </row>
    <row r="73" spans="1:7" x14ac:dyDescent="0.2">
      <c r="C73" s="2"/>
    </row>
    <row r="74" spans="1:7" x14ac:dyDescent="0.2">
      <c r="C74" s="2"/>
    </row>
    <row r="75" spans="1:7" x14ac:dyDescent="0.2">
      <c r="C75" s="2"/>
    </row>
    <row r="76" spans="1:7" x14ac:dyDescent="0.2">
      <c r="C76" s="2"/>
    </row>
    <row r="77" spans="1:7" x14ac:dyDescent="0.2">
      <c r="C77" s="3"/>
    </row>
    <row r="78" spans="1:7" x14ac:dyDescent="0.2">
      <c r="C7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C83F1B08CDE6419ED24FC3726E1384" ma:contentTypeVersion="14" ma:contentTypeDescription="Create a new document." ma:contentTypeScope="" ma:versionID="db6df05cd24dd3226f651c736bfad200">
  <xsd:schema xmlns:xsd="http://www.w3.org/2001/XMLSchema" xmlns:xs="http://www.w3.org/2001/XMLSchema" xmlns:p="http://schemas.microsoft.com/office/2006/metadata/properties" xmlns:ns2="910d0b37-0898-44dd-a44b-c217124320ab" xmlns:ns3="5d938932-4545-4dee-87c5-3c78ea7ecaf7" targetNamespace="http://schemas.microsoft.com/office/2006/metadata/properties" ma:root="true" ma:fieldsID="1d1455a43c7cc88881144d30caed6d07" ns2:_="" ns3:_="">
    <xsd:import namespace="910d0b37-0898-44dd-a44b-c217124320ab"/>
    <xsd:import namespace="5d938932-4545-4dee-87c5-3c78ea7eca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d0b37-0898-44dd-a44b-c21712432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2921df-2c20-4639-af19-812a683635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38932-4545-4dee-87c5-3c78ea7eca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1d13dd-36fe-4109-ab85-bf80e3a89543}" ma:internalName="TaxCatchAll" ma:showField="CatchAllData" ma:web="5d938932-4545-4dee-87c5-3c78ea7eca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38932-4545-4dee-87c5-3c78ea7ecaf7" xsi:nil="true"/>
    <lcf76f155ced4ddcb4097134ff3c332f xmlns="910d0b37-0898-44dd-a44b-c217124320a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0C03C1-31CB-4273-A95D-B6C51D5EDD47}"/>
</file>

<file path=customXml/itemProps2.xml><?xml version="1.0" encoding="utf-8"?>
<ds:datastoreItem xmlns:ds="http://schemas.openxmlformats.org/officeDocument/2006/customXml" ds:itemID="{F70B1130-C13A-40DD-8BC7-034B0CCED9DE}"/>
</file>

<file path=customXml/itemProps3.xml><?xml version="1.0" encoding="utf-8"?>
<ds:datastoreItem xmlns:ds="http://schemas.openxmlformats.org/officeDocument/2006/customXml" ds:itemID="{ADAA9E5F-1375-455E-9674-66201B318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art_spell_vocab</vt:lpstr>
      <vt:lpstr>m21_pca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Microsoft Office User</cp:lastModifiedBy>
  <cp:revision/>
  <dcterms:created xsi:type="dcterms:W3CDTF">2015-06-05T18:17:20Z</dcterms:created>
  <dcterms:modified xsi:type="dcterms:W3CDTF">2022-07-19T16:17:39Z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0x01010094C83F1B08CDE6419ED24FC3726E1384</vt:lpwstr>
  </property>
</Properties>
</file>